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Dayenne.Laranja\Downloads\"/>
    </mc:Choice>
  </mc:AlternateContent>
  <xr:revisionPtr revIDLastSave="0" documentId="8_{911E7A5E-C9C7-4D0E-838A-B022A543D790}" xr6:coauthVersionLast="47" xr6:coauthVersionMax="47" xr10:uidLastSave="{00000000-0000-0000-0000-000000000000}"/>
  <bookViews>
    <workbookView xWindow="-108" yWindow="-108" windowWidth="23256" windowHeight="13896" firstSheet="4" activeTab="4" xr2:uid="{28DD5B76-0634-4F87-BE60-8BFA7EF2E23B}"/>
  </bookViews>
  <sheets>
    <sheet name="A̳ssets" sheetId="1" state="hidden" r:id="rId1"/>
    <sheet name="B̳ases" sheetId="2" state="hidden" r:id="rId2"/>
    <sheet name="Detalhes1" sheetId="5" state="hidden" r:id="rId3"/>
    <sheet name="C̳álculos" sheetId="3" state="hidden" r:id="rId4"/>
    <sheet name="D̳ashboard" sheetId="4" r:id="rId5"/>
  </sheets>
  <definedNames>
    <definedName name="SegmentaçãodeDados_Subscription_Type">#N/A</definedName>
  </definedNames>
  <calcPr calcId="191029"/>
  <pivotCaches>
    <pivotCache cacheId="2" r:id="rId6"/>
  </pivotCaches>
  <fileRecoveryPr repairLoad="1"/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9" i="3" l="1"/>
  <c r="E20" i="3"/>
</calcChain>
</file>

<file path=xl/sharedStrings.xml><?xml version="1.0" encoding="utf-8"?>
<sst xmlns="http://schemas.openxmlformats.org/spreadsheetml/2006/main" count="2962" uniqueCount="324">
  <si>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</si>
  <si>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</si>
  <si>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</si>
  <si>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</si>
  <si>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</si>
  <si>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</si>
  <si>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</si>
  <si>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</si>
  <si>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</si>
  <si>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</si>
  <si>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</si>
  <si>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</si>
  <si>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</si>
  <si>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</si>
  <si>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</si>
  <si>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</si>
  <si>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</si>
  <si>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</si>
  <si>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</si>
  <si>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</si>
  <si>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</si>
  <si>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</si>
  <si>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</si>
  <si>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</si>
  <si>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</si>
  <si>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</si>
  <si>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</si>
  <si>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</si>
  <si>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</si>
  <si>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</si>
  <si>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</si>
  <si>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</si>
  <si>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</si>
  <si>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</si>
  <si>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</si>
  <si>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</si>
  <si>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</si>
  <si>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</si>
  <si>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</si>
  <si>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</si>
  <si>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</si>
  <si>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</si>
  <si>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</si>
  <si>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</si>
  <si>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</si>
  <si>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</si>
  <si>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</si>
  <si>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</si>
  <si>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</si>
  <si>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</si>
  <si>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</si>
  <si>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</si>
  <si>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</si>
  <si>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</si>
  <si>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</si>
  <si>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</si>
  <si>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</si>
  <si>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</si>
  <si>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</si>
  <si>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</si>
  <si>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</si>
  <si>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</si>
  <si>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</si>
  <si>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</si>
  <si>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</si>
  <si>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</si>
  <si>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</si>
  <si>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</si>
  <si>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</si>
  <si>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</si>
  <si>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</si>
  <si>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</si>
  <si>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</si>
  <si>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</si>
  <si>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</si>
  <si>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</si>
  <si>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</si>
  <si>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</si>
  <si>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</si>
  <si>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</si>
  <si>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</si>
  <si>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</si>
  <si>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</si>
  <si>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</si>
  <si>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</si>
  <si>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</si>
  <si>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</si>
  <si>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</si>
  <si>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</si>
  <si>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</si>
  <si>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</si>
  <si>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</si>
  <si>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</si>
  <si>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</si>
  <si>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</si>
  <si>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</si>
  <si>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</si>
  <si>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</si>
  <si>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</si>
  <si>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</si>
  <si>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</si>
  <si>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</si>
  <si>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</si>
  <si>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</si>
  <si>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</si>
  <si>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</si>
  <si>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</si>
  <si>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</si>
  <si>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</si>
  <si>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</si>
  <si>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</si>
  <si>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</si>
  <si>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</si>
  <si>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</si>
  <si>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</si>
  <si>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</si>
  <si>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</si>
  <si>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</si>
  <si>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</si>
  <si>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</si>
  <si>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</si>
  <si>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</si>
  <si>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</si>
  <si>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</si>
  <si>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</si>
  <si>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</si>
  <si>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</si>
  <si>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</si>
  <si>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</si>
  <si>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</si>
  <si>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</si>
  <si>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</si>
  <si>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</si>
  <si>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</si>
  <si>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</si>
  <si>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</si>
  <si>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</si>
  <si>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</si>
  <si>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</si>
  <si>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</si>
  <si>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</si>
  <si>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</si>
  <si>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</si>
  <si>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</si>
  <si>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</si>
  <si>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</si>
  <si>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</si>
  <si>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</si>
  <si>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</si>
  <si>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</si>
  <si>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</si>
  <si>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</si>
  <si>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</si>
  <si>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</si>
  <si>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</si>
  <si>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</si>
  <si>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</si>
  <si>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</si>
  <si>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</si>
  <si>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</si>
  <si>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</si>
  <si>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</si>
  <si>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</si>
  <si>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</si>
  <si>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</si>
  <si>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</si>
  <si>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</si>
  <si>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</si>
  <si>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</si>
  <si>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</si>
  <si>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</si>
  <si>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</si>
  <si>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</si>
  <si>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</si>
  <si>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</si>
  <si>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</si>
  <si>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</si>
  <si>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</si>
  <si>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</si>
  <si>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</si>
  <si>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</si>
  <si>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</si>
  <si>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</si>
  <si>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</si>
  <si>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</si>
  <si>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</si>
  <si>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</si>
  <si>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</si>
  <si>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</si>
  <si>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</si>
  <si>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</si>
  <si>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</si>
  <si>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</si>
  <si>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</si>
  <si>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</si>
  <si>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</si>
  <si>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</si>
  <si>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</si>
  <si>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</si>
  <si>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</si>
  <si>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</si>
  <si>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</si>
  <si>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</si>
  <si>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</si>
  <si>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</si>
  <si>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</si>
  <si>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</si>
  <si>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</si>
  <si>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</si>
  <si>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</si>
  <si>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</si>
  <si>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</si>
  <si>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</si>
  <si>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</si>
  <si>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</si>
  <si>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</si>
  <si>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</si>
  <si>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</si>
  <si>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</si>
  <si>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</si>
  <si>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</si>
  <si>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</si>
  <si>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</si>
  <si>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</si>
  <si>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</si>
  <si>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</si>
  <si>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</si>
  <si>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</si>
  <si>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</si>
  <si>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</si>
  <si>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</si>
  <si>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</si>
  <si>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</si>
  <si>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</si>
  <si>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</si>
  <si>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</si>
  <si>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</si>
  <si>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</si>
  <si>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</si>
  <si>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</si>
  <si>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</si>
  <si>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</si>
  <si>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</si>
  <si>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</si>
  <si>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</si>
  <si>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</si>
  <si>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</si>
  <si>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</si>
  <si>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</si>
  <si>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</si>
  <si>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</si>
  <si>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</si>
  <si>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</si>
  <si>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</si>
  <si>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</si>
  <si>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</si>
  <si>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</si>
  <si>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</si>
  <si>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</si>
  <si>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</si>
  <si>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</si>
  <si>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</si>
  <si>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</si>
  <si>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</si>
  <si>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</si>
  <si>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</si>
  <si>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</si>
  <si>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</si>
  <si>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</si>
  <si>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</si>
  <si>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</si>
  <si>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</si>
  <si>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</si>
  <si>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</si>
  <si>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</si>
  <si>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</si>
  <si>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</si>
  <si>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</si>
  <si>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</si>
  <si>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</si>
  <si>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</si>
  <si>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</si>
  <si>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</si>
  <si>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</si>
  <si>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</si>
  <si>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</si>
  <si>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</si>
  <si>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</si>
  <si>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</si>
  <si>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</si>
  <si>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</si>
  <si>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</si>
  <si>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</si>
  <si>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</si>
  <si>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</si>
  <si>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</si>
  <si>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</si>
  <si>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</si>
  <si>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</si>
  <si>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</si>
  <si>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</si>
  <si>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</si>
  <si>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</si>
  <si>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</si>
  <si>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</si>
  <si>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</si>
  <si>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</si>
  <si>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</si>
  <si>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</si>
  <si>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</si>
  <si>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</si>
  <si>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</si>
  <si>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</si>
  <si>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</si>
  <si>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</si>
  <si>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</si>
  <si>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(Tudo)</t>
  </si>
  <si>
    <t>É uma pergunta de negócio respondida através de alguma análise de dado específica</t>
  </si>
  <si>
    <t>Pergunta de Negócio 2 - Qual faturamento total de vendas de planos anuais, separado por auto renovação</t>
  </si>
  <si>
    <t>Pergunta de Negócio - Qual faturamento total de vendas de planos anuais (contendo todas as assinaturas agregadas)</t>
  </si>
  <si>
    <t>Detalhes do Soma de Total Value - Subscription Type: Monthly</t>
  </si>
  <si>
    <t>XBOX GAME PASS SUBSCRIPTIONS SALES</t>
  </si>
  <si>
    <t>Soma de EA Play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</si>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</sst>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-&quot;R$&quot;\ * #,##0.00_-;\-&quot;R$&quot;\ * #,##0.00_-;_-&quot;R$&quot;\ * &quot;-&quot;??_-;_-@_-"/>
    <numFmt numFmtId="166" formatCode="#,##0.00\ &quot;​&quot;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164" fontId="2" fillId="0" borderId="0" applyFont="0" applyFill="0" applyBorder="0" applyAlignment="0" applyProtection="0"/>
  </cellStyleXfs>
  <cellXfs count="23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16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14" fontId="0" fillId="0" borderId="0" xfId="0" applyNumberFormat="1"/>
    <xf numFmtId="0" fontId="3" fillId="0" borderId="0" xfId="0" applyFont="1"/>
    <xf numFmtId="0" fontId="4" fillId="0" borderId="0" xfId="0" applyFont="1"/>
    <xf numFmtId="0" fontId="6" fillId="0" borderId="2" xfId="1" applyFont="1" applyBorder="1"/>
    <xf numFmtId="0" fontId="5" fillId="0" borderId="2" xfId="1" applyFont="1" applyBorder="1"/>
    <xf numFmtId="0" fontId="0" fillId="0" borderId="2" xfId="0" applyBorder="1"/>
    <xf numFmtId="0" fontId="0" fillId="0" borderId="0" xfId="0" applyNumberFormat="1"/>
    <xf numFmtId="166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7">
    <dxf>
      <font>
        <b/>
        <i val="0"/>
        <color theme="1"/>
      </font>
      <border>
        <bottom style="thin">
          <color theme="9"/>
        </bottom>
        <vertical/>
        <horizontal/>
      </border>
    </dxf>
    <dxf>
      <font>
        <color theme="1"/>
      </font>
      <fill>
        <patternFill patternType="solid">
          <bgColor rgb="FF22C55E"/>
        </patternFill>
      </fill>
      <border diagonalUp="0" diagonalDown="0">
        <left/>
        <right/>
        <top/>
        <bottom/>
        <vertical/>
        <horizontal/>
      </border>
    </dxf>
    <dxf>
      <numFmt numFmtId="19" formatCode="dd/mm/yyyy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421E0CA7-3F2E-47F3-8FC8-9B4853B97794}">
      <tableStyleElement type="wholeTable" dxfId="1"/>
      <tableStyleElement type="headerRow" dxfId="0"/>
    </tableStyle>
  </tableStyles>
  <colors>
    <mruColors>
      <color rgb="FF22C55E"/>
      <color rgb="FF2AE6B1"/>
      <color rgb="FF5BF6A8"/>
      <color rgb="FFE8E6E9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Play - Mine.xlsx]C̳álculos!tbl_anual_total</c:name>
    <c:fmtId val="3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rgbClr val="22C55E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2.6066720669217485E-2"/>
          <c:y val="1.827160408570332E-2"/>
          <c:w val="0.95547832082764672"/>
          <c:h val="0.9196049420229054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rgbClr val="22C55E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_-"R$"\ * #\ ##0.00_-;\-"R$"\ * #\ ##0.00_-;_-"R$"\ * "-"??_-;_-@_-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86-493E-8FFD-6D9EC4775C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99011440"/>
        <c:axId val="801140144"/>
      </c:barChart>
      <c:catAx>
        <c:axId val="79901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1140144"/>
        <c:crosses val="autoZero"/>
        <c:auto val="1"/>
        <c:lblAlgn val="ctr"/>
        <c:lblOffset val="100"/>
        <c:noMultiLvlLbl val="0"/>
      </c:catAx>
      <c:valAx>
        <c:axId val="801140144"/>
        <c:scaling>
          <c:orientation val="minMax"/>
        </c:scaling>
        <c:delete val="1"/>
        <c:axPos val="b"/>
        <c:numFmt formatCode="_-&quot;R$&quot;\ * #\ ##0.00_-;\-&quot;R$&quot;\ * #\ ##0.00_-;_-&quot;R$&quot;\ * &quot;-&quot;??_-;_-@_-" sourceLinked="1"/>
        <c:majorTickMark val="none"/>
        <c:minorTickMark val="none"/>
        <c:tickLblPos val="nextTo"/>
        <c:crossAx val="79901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681990</xdr:colOff>
      <xdr:row>0</xdr:row>
      <xdr:rowOff>57150</xdr:rowOff>
    </xdr:from>
    <xdr:to>
      <xdr:col>0</xdr:col>
      <xdr:colOff>1127283</xdr:colOff>
      <xdr:row>1</xdr:row>
      <xdr:rowOff>198597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7588B9D-4CC6-47F5-A3DB-A9F1D54BE9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469" t="3716" r="71899" b="13465"/>
        <a:stretch>
          <a:fillRect/>
        </a:stretch>
      </xdr:blipFill>
      <xdr:spPr>
        <a:xfrm>
          <a:off x="681990" y="57150"/>
          <a:ext cx="445293" cy="5605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384810</xdr:rowOff>
    </xdr:from>
    <xdr:to>
      <xdr:col>1</xdr:col>
      <xdr:colOff>9525</xdr:colOff>
      <xdr:row>17</xdr:row>
      <xdr:rowOff>80010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FD0D22A8-BD08-4F83-B261-9C382D3FA20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070610"/>
              <a:ext cx="1828800" cy="25812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114300</xdr:colOff>
      <xdr:row>5</xdr:row>
      <xdr:rowOff>38100</xdr:rowOff>
    </xdr:from>
    <xdr:to>
      <xdr:col>9</xdr:col>
      <xdr:colOff>428625</xdr:colOff>
      <xdr:row>14</xdr:row>
      <xdr:rowOff>161925</xdr:rowOff>
    </xdr:to>
    <xdr:grpSp>
      <xdr:nvGrpSpPr>
        <xdr:cNvPr id="11" name="Agrupar 10">
          <a:extLst>
            <a:ext uri="{FF2B5EF4-FFF2-40B4-BE49-F238E27FC236}">
              <a16:creationId xmlns:a16="http://schemas.microsoft.com/office/drawing/2014/main" id="{7A7D35D6-CAEB-8EF6-842E-DD9D0C759A4D}"/>
            </a:ext>
          </a:extLst>
        </xdr:cNvPr>
        <xdr:cNvGrpSpPr/>
      </xdr:nvGrpSpPr>
      <xdr:grpSpPr>
        <a:xfrm>
          <a:off x="2181225" y="1304925"/>
          <a:ext cx="4581525" cy="1885950"/>
          <a:chOff x="2181225" y="1323975"/>
          <a:chExt cx="4581525" cy="1885950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B47D8ACF-1730-7EC0-EA47-3BCAE298DB00}"/>
              </a:ext>
            </a:extLst>
          </xdr:cNvPr>
          <xdr:cNvSpPr/>
        </xdr:nvSpPr>
        <xdr:spPr>
          <a:xfrm>
            <a:off x="2181225" y="1323975"/>
            <a:ext cx="4581525" cy="1885950"/>
          </a:xfrm>
          <a:prstGeom prst="roundRect">
            <a:avLst>
              <a:gd name="adj" fmla="val 136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E20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851E2D18-98B1-4C7B-A96E-2E1ADB6D46A0}"/>
              </a:ext>
            </a:extLst>
          </xdr:cNvPr>
          <xdr:cNvSpPr/>
        </xdr:nvSpPr>
        <xdr:spPr>
          <a:xfrm>
            <a:off x="4267200" y="1994321"/>
            <a:ext cx="1400175" cy="542925"/>
          </a:xfrm>
          <a:prstGeom prst="roundRect">
            <a:avLst>
              <a:gd name="adj" fmla="val 13637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fld id="{7E84D404-F7C2-4D11-BC7A-76F705145A75}" type="TxLink">
              <a:rPr lang="en-US" sz="2400" b="0" i="0" u="none" strike="noStrike">
                <a:solidFill>
                  <a:srgbClr val="22C55E"/>
                </a:solidFill>
                <a:latin typeface="Aptos Narrow"/>
              </a:rPr>
              <a:pPr algn="ctr"/>
              <a:t>2 940,00 ​</a:t>
            </a:fld>
            <a:endParaRPr lang="en-US" sz="2400">
              <a:solidFill>
                <a:srgbClr val="22C55E"/>
              </a:solidFill>
            </a:endParaRPr>
          </a:p>
        </xdr:txBody>
      </xdr:sp>
      <xdr:pic>
        <xdr:nvPicPr>
          <xdr:cNvPr id="9" name="Imagem 8">
            <a:extLst>
              <a:ext uri="{FF2B5EF4-FFF2-40B4-BE49-F238E27FC236}">
                <a16:creationId xmlns:a16="http://schemas.microsoft.com/office/drawing/2014/main" id="{AB7B98E0-C405-4FCB-ABF4-3F9CB8EFB8B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362200" y="1559765"/>
            <a:ext cx="1543050" cy="1412036"/>
          </a:xfrm>
          <a:prstGeom prst="rect">
            <a:avLst/>
          </a:prstGeom>
        </xdr:spPr>
      </xdr:pic>
      <xdr:sp macro="" textlink="">
        <xdr:nvSpPr>
          <xdr:cNvPr id="10" name="Retângulo: Cantos Superiores Arredondados 9">
            <a:extLst>
              <a:ext uri="{FF2B5EF4-FFF2-40B4-BE49-F238E27FC236}">
                <a16:creationId xmlns:a16="http://schemas.microsoft.com/office/drawing/2014/main" id="{2B2BB050-1750-CCF6-2952-B8BA99B04674}"/>
              </a:ext>
            </a:extLst>
          </xdr:cNvPr>
          <xdr:cNvSpPr/>
        </xdr:nvSpPr>
        <xdr:spPr>
          <a:xfrm>
            <a:off x="2181225" y="1333500"/>
            <a:ext cx="4572000" cy="571500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EA PLAY SEASON PASS</a:t>
            </a:r>
          </a:p>
          <a:p>
            <a:pPr algn="ctr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>
    <xdr:from>
      <xdr:col>12</xdr:col>
      <xdr:colOff>333374</xdr:colOff>
      <xdr:row>5</xdr:row>
      <xdr:rowOff>76200</xdr:rowOff>
    </xdr:from>
    <xdr:to>
      <xdr:col>20</xdr:col>
      <xdr:colOff>57150</xdr:colOff>
      <xdr:row>15</xdr:row>
      <xdr:rowOff>19050</xdr:rowOff>
    </xdr:to>
    <xdr:grpSp>
      <xdr:nvGrpSpPr>
        <xdr:cNvPr id="20" name="Agrupar 19">
          <a:extLst>
            <a:ext uri="{FF2B5EF4-FFF2-40B4-BE49-F238E27FC236}">
              <a16:creationId xmlns:a16="http://schemas.microsoft.com/office/drawing/2014/main" id="{32A803BF-C1F9-7900-EC71-3A011B511642}"/>
            </a:ext>
          </a:extLst>
        </xdr:cNvPr>
        <xdr:cNvGrpSpPr/>
      </xdr:nvGrpSpPr>
      <xdr:grpSpPr>
        <a:xfrm>
          <a:off x="8334374" y="1343025"/>
          <a:ext cx="4600576" cy="1885950"/>
          <a:chOff x="8134349" y="1276350"/>
          <a:chExt cx="4600576" cy="1885950"/>
        </a:xfrm>
      </xdr:grpSpPr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804BBC81-513B-48C3-9BBB-5C2929B7CFC9}"/>
              </a:ext>
            </a:extLst>
          </xdr:cNvPr>
          <xdr:cNvGrpSpPr/>
        </xdr:nvGrpSpPr>
        <xdr:grpSpPr>
          <a:xfrm>
            <a:off x="8134349" y="1276350"/>
            <a:ext cx="4600576" cy="1885950"/>
            <a:chOff x="2171699" y="1314450"/>
            <a:chExt cx="4600576" cy="1885950"/>
          </a:xfrm>
        </xdr:grpSpPr>
        <xdr:sp macro="" textlink="">
          <xdr:nvSpPr>
            <xdr:cNvPr id="13" name="Retângulo: Cantos Arredondados 12">
              <a:extLst>
                <a:ext uri="{FF2B5EF4-FFF2-40B4-BE49-F238E27FC236}">
                  <a16:creationId xmlns:a16="http://schemas.microsoft.com/office/drawing/2014/main" id="{25F91523-1CAD-AA8E-9CF5-AE54C20F93BC}"/>
                </a:ext>
              </a:extLst>
            </xdr:cNvPr>
            <xdr:cNvSpPr/>
          </xdr:nvSpPr>
          <xdr:spPr>
            <a:xfrm>
              <a:off x="2190750" y="1314450"/>
              <a:ext cx="4581525" cy="1885950"/>
            </a:xfrm>
            <a:prstGeom prst="roundRect">
              <a:avLst>
                <a:gd name="adj" fmla="val 13637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sp macro="" textlink="C̳álculos!E29">
          <xdr:nvSpPr>
            <xdr:cNvPr id="14" name="Retângulo: Cantos Arredondados 13">
              <a:extLst>
                <a:ext uri="{FF2B5EF4-FFF2-40B4-BE49-F238E27FC236}">
                  <a16:creationId xmlns:a16="http://schemas.microsoft.com/office/drawing/2014/main" id="{0804DFA2-4919-9B10-9CB3-8839D129D50F}"/>
                </a:ext>
              </a:extLst>
            </xdr:cNvPr>
            <xdr:cNvSpPr/>
          </xdr:nvSpPr>
          <xdr:spPr>
            <a:xfrm>
              <a:off x="4457700" y="1995488"/>
              <a:ext cx="1400175" cy="542925"/>
            </a:xfrm>
            <a:prstGeom prst="roundRect">
              <a:avLst>
                <a:gd name="adj" fmla="val 13637"/>
              </a:avLst>
            </a:prstGeom>
            <a:solidFill>
              <a:sysClr val="window" lastClr="FFFFFF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ctr"/>
              <a:fld id="{124BCB6D-18C4-465A-8BA0-E0E572CD907A}" type="TxLink">
                <a:rPr lang="en-US" sz="2400" b="0" i="0" u="none" strike="noStrike">
                  <a:solidFill>
                    <a:srgbClr val="22C55E"/>
                  </a:solidFill>
                  <a:latin typeface="Aptos Narrow"/>
                </a:rPr>
                <a:t>3 880,00 ​</a:t>
              </a:fld>
              <a:endParaRPr lang="en-US" sz="48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6" name="Retângulo: Cantos Superiores Arredondados 15">
              <a:extLst>
                <a:ext uri="{FF2B5EF4-FFF2-40B4-BE49-F238E27FC236}">
                  <a16:creationId xmlns:a16="http://schemas.microsoft.com/office/drawing/2014/main" id="{7C65778E-6DB1-0BFD-6918-CC89ED15A343}"/>
                </a:ext>
              </a:extLst>
            </xdr:cNvPr>
            <xdr:cNvSpPr/>
          </xdr:nvSpPr>
          <xdr:spPr>
            <a:xfrm>
              <a:off x="2171699" y="1314450"/>
              <a:ext cx="4600575" cy="571500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</a:t>
              </a:r>
              <a:r>
                <a:rPr lang="pt-BR" sz="1100" baseline="0">
                  <a:latin typeface="Segoe UI" panose="020B0502040204020203" pitchFamily="34" charset="0"/>
                  <a:cs typeface="Segoe UI" panose="020B0502040204020203" pitchFamily="34" charset="0"/>
                </a:rPr>
                <a:t> EA PLAY SEASON PASS</a:t>
              </a:r>
            </a:p>
            <a:p>
              <a:pPr algn="ctr"/>
              <a:endParaRPr lang="pt-BR" sz="1100">
                <a:latin typeface="Segoe UI" panose="020B0502040204020203" pitchFamily="34" charset="0"/>
                <a:cs typeface="Segoe UI" panose="020B0502040204020203" pitchFamily="34" charset="0"/>
              </a:endParaRPr>
            </a:p>
          </xdr:txBody>
        </xdr:sp>
      </xdr:grpSp>
      <xdr:grpSp>
        <xdr:nvGrpSpPr>
          <xdr:cNvPr id="17" name="Agrupar 16">
            <a:extLst>
              <a:ext uri="{FF2B5EF4-FFF2-40B4-BE49-F238E27FC236}">
                <a16:creationId xmlns:a16="http://schemas.microsoft.com/office/drawing/2014/main" id="{C28A4E38-FAF8-4B0B-BE0A-CEEA649D2A9C}"/>
              </a:ext>
            </a:extLst>
          </xdr:cNvPr>
          <xdr:cNvGrpSpPr/>
        </xdr:nvGrpSpPr>
        <xdr:grpSpPr>
          <a:xfrm>
            <a:off x="8420100" y="1958774"/>
            <a:ext cx="1285875" cy="755850"/>
            <a:chOff x="3495675" y="5300118"/>
            <a:chExt cx="1549476" cy="853032"/>
          </a:xfrm>
        </xdr:grpSpPr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335ACBEE-7FFE-8096-E4D3-33BD7193DBF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300118"/>
              <a:ext cx="555497" cy="609599"/>
            </a:xfrm>
            <a:prstGeom prst="rect">
              <a:avLst/>
            </a:prstGeom>
          </xdr:spPr>
        </xdr:pic>
        <xdr:pic>
          <xdr:nvPicPr>
            <xdr:cNvPr id="19" name="Gráfico 18">
              <a:extLst>
                <a:ext uri="{FF2B5EF4-FFF2-40B4-BE49-F238E27FC236}">
                  <a16:creationId xmlns:a16="http://schemas.microsoft.com/office/drawing/2014/main" id="{B3D53561-73AC-08CA-7B0B-2D947F437F87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161925</xdr:colOff>
      <xdr:row>16</xdr:row>
      <xdr:rowOff>47625</xdr:rowOff>
    </xdr:from>
    <xdr:to>
      <xdr:col>21</xdr:col>
      <xdr:colOff>57150</xdr:colOff>
      <xdr:row>38</xdr:row>
      <xdr:rowOff>156841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3BF7CB57-7E6E-F0D4-F543-E494F64A8B66}"/>
            </a:ext>
          </a:extLst>
        </xdr:cNvPr>
        <xdr:cNvGrpSpPr/>
      </xdr:nvGrpSpPr>
      <xdr:grpSpPr>
        <a:xfrm>
          <a:off x="2228850" y="3438525"/>
          <a:ext cx="11315700" cy="4090666"/>
          <a:chOff x="2009775" y="3419475"/>
          <a:chExt cx="11315700" cy="4090666"/>
        </a:xfrm>
      </xdr:grpSpPr>
      <xdr:grpSp>
        <xdr:nvGrpSpPr>
          <xdr:cNvPr id="6" name="Agrupar 5">
            <a:extLst>
              <a:ext uri="{FF2B5EF4-FFF2-40B4-BE49-F238E27FC236}">
                <a16:creationId xmlns:a16="http://schemas.microsoft.com/office/drawing/2014/main" id="{4DFA51AE-1815-30F8-24C1-158BF0C27AB0}"/>
              </a:ext>
            </a:extLst>
          </xdr:cNvPr>
          <xdr:cNvGrpSpPr/>
        </xdr:nvGrpSpPr>
        <xdr:grpSpPr>
          <a:xfrm>
            <a:off x="2038350" y="3467100"/>
            <a:ext cx="11287125" cy="4043041"/>
            <a:chOff x="2324100" y="960577"/>
            <a:chExt cx="4686827" cy="3191307"/>
          </a:xfrm>
        </xdr:grpSpPr>
        <xdr:sp macro="" textlink="">
          <xdr:nvSpPr>
            <xdr:cNvPr id="5" name="Retângulo: Cantos Arredondados 4">
              <a:extLst>
                <a:ext uri="{FF2B5EF4-FFF2-40B4-BE49-F238E27FC236}">
                  <a16:creationId xmlns:a16="http://schemas.microsoft.com/office/drawing/2014/main" id="{0A9844F2-6C30-B176-DF75-A5D4BAC408FF}"/>
                </a:ext>
              </a:extLst>
            </xdr:cNvPr>
            <xdr:cNvSpPr/>
          </xdr:nvSpPr>
          <xdr:spPr>
            <a:xfrm>
              <a:off x="2324100" y="960577"/>
              <a:ext cx="4610100" cy="3135173"/>
            </a:xfrm>
            <a:prstGeom prst="roundRect">
              <a:avLst>
                <a:gd name="adj" fmla="val 8221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graphicFrame macro="">
          <xdr:nvGraphicFramePr>
            <xdr:cNvPr id="3" name="Gráfico 2">
              <a:extLst>
                <a:ext uri="{FF2B5EF4-FFF2-40B4-BE49-F238E27FC236}">
                  <a16:creationId xmlns:a16="http://schemas.microsoft.com/office/drawing/2014/main" id="{C46155B5-6DE2-4CE9-A2AA-DB595BFAB1FE}"/>
                </a:ext>
              </a:extLst>
            </xdr:cNvPr>
            <xdr:cNvGraphicFramePr>
              <a:graphicFrameLocks/>
            </xdr:cNvGraphicFramePr>
          </xdr:nvGraphicFramePr>
          <xdr:xfrm>
            <a:off x="2438927" y="1408684"/>
            <a:ext cx="4572000" cy="274320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7" name="Retângulo: Cantos Superiores Arredondados 26">
            <a:extLst>
              <a:ext uri="{FF2B5EF4-FFF2-40B4-BE49-F238E27FC236}">
                <a16:creationId xmlns:a16="http://schemas.microsoft.com/office/drawing/2014/main" id="{7C038E27-C263-485F-ACD3-788645B6B78C}"/>
              </a:ext>
            </a:extLst>
          </xdr:cNvPr>
          <xdr:cNvSpPr/>
        </xdr:nvSpPr>
        <xdr:spPr>
          <a:xfrm>
            <a:off x="2009775" y="3419475"/>
            <a:ext cx="11144250" cy="447675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>
                <a:latin typeface="Segoe UI" panose="020B0502040204020203" pitchFamily="34" charset="0"/>
                <a:cs typeface="Segoe UI" panose="020B0502040204020203" pitchFamily="34" charset="0"/>
              </a:rPr>
              <a:t>TOTAL SUBSCRIPTIONS</a:t>
            </a:r>
            <a:r>
              <a:rPr lang="pt-BR" sz="1100" baseline="0">
                <a:latin typeface="Segoe UI" panose="020B0502040204020203" pitchFamily="34" charset="0"/>
                <a:cs typeface="Segoe UI" panose="020B0502040204020203" pitchFamily="34" charset="0"/>
              </a:rPr>
              <a:t> XBOX GAME PASS</a:t>
            </a:r>
          </a:p>
          <a:p>
            <a:pPr algn="ctr"/>
            <a:endParaRPr lang="pt-BR" sz="11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ranja, Dayenne" refreshedDate="46307.940040972222" createdVersion="8" refreshedVersion="8" minRefreshableVersion="3" recordCount="295" xr:uid="{2BB6EBF1-FDB0-410E-A1D5-4BC9B84103D8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16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16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164">
      <sharedItems containsSemiMixedTypes="0" containsString="0" containsNumber="1" containsInteger="1" minValue="0" maxValue="20"/>
    </cacheField>
    <cacheField name="Coupon Value" numFmtId="164">
      <sharedItems containsSemiMixedTypes="0" containsString="0" containsNumber="1" containsInteger="1" minValue="0" maxValue="20" count="11">
        <n v="5"/>
        <n v="0"/>
        <n v="10"/>
        <n v="3"/>
        <n v="1"/>
        <n v="2"/>
        <n v="15"/>
        <n v="20"/>
        <n v="8"/>
        <n v="12"/>
        <n v="7"/>
      </sharedItems>
    </cacheField>
    <cacheField name="Total Value" numFmtId="164">
      <sharedItems containsSemiMixedTypes="0" containsString="0" containsNumber="1" containsInteger="1" minValue="3" maxValue="62" count="15">
        <n v="60"/>
        <n v="5"/>
        <n v="20"/>
        <n v="62"/>
        <n v="4"/>
        <n v="28"/>
        <n v="55"/>
        <n v="15"/>
        <n v="45"/>
        <n v="57"/>
        <n v="18"/>
        <n v="3"/>
        <n v="58"/>
        <n v="25"/>
        <n v="50"/>
      </sharedItems>
    </cacheField>
  </cacheFields>
  <extLst>
    <ext xmlns:x14="http://schemas.microsoft.com/office/spreadsheetml/2009/9/main" uri="{725AE2AE-9491-48be-B2B4-4EB974FC3084}">
      <x14:pivotCacheDefinition pivotCacheId="115510467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x v="0"/>
    <x v="0"/>
  </r>
  <r>
    <n v="3232"/>
    <x v="1"/>
    <x v="1"/>
    <d v="2024-01-15T00:00:00"/>
    <x v="1"/>
    <n v="5"/>
    <x v="1"/>
    <s v="No"/>
    <x v="1"/>
    <s v="No"/>
    <n v="0"/>
    <x v="1"/>
    <x v="1"/>
  </r>
  <r>
    <n v="3233"/>
    <x v="2"/>
    <x v="2"/>
    <d v="2024-02-10T00:00:00"/>
    <x v="0"/>
    <n v="10"/>
    <x v="2"/>
    <s v="No"/>
    <x v="1"/>
    <s v="Yes"/>
    <n v="20"/>
    <x v="2"/>
    <x v="2"/>
  </r>
  <r>
    <n v="3234"/>
    <x v="3"/>
    <x v="0"/>
    <d v="2024-02-20T00:00:00"/>
    <x v="1"/>
    <n v="15"/>
    <x v="0"/>
    <s v="Yes"/>
    <x v="0"/>
    <s v="Yes"/>
    <n v="20"/>
    <x v="3"/>
    <x v="3"/>
  </r>
  <r>
    <n v="3235"/>
    <x v="4"/>
    <x v="1"/>
    <d v="2024-03-05T00:00:00"/>
    <x v="0"/>
    <n v="5"/>
    <x v="0"/>
    <s v="No"/>
    <x v="1"/>
    <s v="No"/>
    <n v="0"/>
    <x v="4"/>
    <x v="4"/>
  </r>
  <r>
    <n v="3236"/>
    <x v="5"/>
    <x v="2"/>
    <d v="2024-03-02T00:00:00"/>
    <x v="1"/>
    <n v="10"/>
    <x v="0"/>
    <s v="No"/>
    <x v="1"/>
    <s v="Yes"/>
    <n v="20"/>
    <x v="5"/>
    <x v="5"/>
  </r>
  <r>
    <n v="3237"/>
    <x v="6"/>
    <x v="0"/>
    <d v="2024-03-03T00:00:00"/>
    <x v="0"/>
    <n v="15"/>
    <x v="2"/>
    <s v="Yes"/>
    <x v="0"/>
    <s v="Yes"/>
    <n v="20"/>
    <x v="2"/>
    <x v="6"/>
  </r>
  <r>
    <n v="3238"/>
    <x v="7"/>
    <x v="1"/>
    <d v="2024-03-04T00:00:00"/>
    <x v="0"/>
    <n v="5"/>
    <x v="1"/>
    <s v="No"/>
    <x v="1"/>
    <s v="No"/>
    <n v="0"/>
    <x v="1"/>
    <x v="1"/>
  </r>
  <r>
    <n v="3239"/>
    <x v="8"/>
    <x v="0"/>
    <d v="2024-03-05T00:00:00"/>
    <x v="1"/>
    <n v="15"/>
    <x v="0"/>
    <s v="Yes"/>
    <x v="0"/>
    <s v="Yes"/>
    <n v="20"/>
    <x v="0"/>
    <x v="0"/>
  </r>
  <r>
    <n v="3240"/>
    <x v="9"/>
    <x v="2"/>
    <d v="2024-03-06T00:00:00"/>
    <x v="0"/>
    <n v="10"/>
    <x v="2"/>
    <s v="No"/>
    <x v="1"/>
    <s v="Yes"/>
    <n v="20"/>
    <x v="6"/>
    <x v="7"/>
  </r>
  <r>
    <n v="3241"/>
    <x v="10"/>
    <x v="1"/>
    <d v="2024-03-07T00:00:00"/>
    <x v="1"/>
    <n v="5"/>
    <x v="0"/>
    <s v="No"/>
    <x v="1"/>
    <s v="No"/>
    <n v="0"/>
    <x v="4"/>
    <x v="4"/>
  </r>
  <r>
    <n v="3242"/>
    <x v="11"/>
    <x v="0"/>
    <d v="2024-03-08T00:00:00"/>
    <x v="0"/>
    <n v="15"/>
    <x v="1"/>
    <s v="Yes"/>
    <x v="0"/>
    <s v="Yes"/>
    <n v="20"/>
    <x v="7"/>
    <x v="8"/>
  </r>
  <r>
    <n v="3243"/>
    <x v="12"/>
    <x v="2"/>
    <d v="2024-03-09T00:00:00"/>
    <x v="1"/>
    <n v="10"/>
    <x v="0"/>
    <s v="No"/>
    <x v="1"/>
    <s v="Yes"/>
    <n v="20"/>
    <x v="2"/>
    <x v="2"/>
  </r>
  <r>
    <n v="3244"/>
    <x v="13"/>
    <x v="1"/>
    <d v="2024-03-10T00:00:00"/>
    <x v="0"/>
    <n v="5"/>
    <x v="2"/>
    <s v="No"/>
    <x v="1"/>
    <s v="No"/>
    <n v="0"/>
    <x v="1"/>
    <x v="1"/>
  </r>
  <r>
    <n v="3245"/>
    <x v="14"/>
    <x v="0"/>
    <d v="2024-03-11T00:00:00"/>
    <x v="1"/>
    <n v="15"/>
    <x v="0"/>
    <s v="Yes"/>
    <x v="0"/>
    <s v="Yes"/>
    <n v="20"/>
    <x v="8"/>
    <x v="9"/>
  </r>
  <r>
    <n v="3246"/>
    <x v="15"/>
    <x v="2"/>
    <d v="2024-03-12T00:00:00"/>
    <x v="0"/>
    <n v="10"/>
    <x v="1"/>
    <s v="No"/>
    <x v="1"/>
    <s v="Yes"/>
    <n v="20"/>
    <x v="9"/>
    <x v="10"/>
  </r>
  <r>
    <n v="3247"/>
    <x v="16"/>
    <x v="1"/>
    <d v="2024-03-13T00:00:00"/>
    <x v="1"/>
    <n v="5"/>
    <x v="0"/>
    <s v="No"/>
    <x v="1"/>
    <s v="No"/>
    <n v="0"/>
    <x v="5"/>
    <x v="11"/>
  </r>
  <r>
    <n v="3248"/>
    <x v="17"/>
    <x v="0"/>
    <d v="2024-03-14T00:00:00"/>
    <x v="0"/>
    <n v="15"/>
    <x v="2"/>
    <s v="Yes"/>
    <x v="0"/>
    <s v="Yes"/>
    <n v="20"/>
    <x v="10"/>
    <x v="12"/>
  </r>
  <r>
    <n v="3249"/>
    <x v="18"/>
    <x v="2"/>
    <d v="2024-03-15T00:00:00"/>
    <x v="1"/>
    <n v="10"/>
    <x v="0"/>
    <s v="No"/>
    <x v="1"/>
    <s v="Yes"/>
    <n v="20"/>
    <x v="0"/>
    <x v="13"/>
  </r>
  <r>
    <n v="3250"/>
    <x v="19"/>
    <x v="1"/>
    <d v="2024-03-16T00:00:00"/>
    <x v="0"/>
    <n v="5"/>
    <x v="1"/>
    <s v="No"/>
    <x v="1"/>
    <s v="No"/>
    <n v="0"/>
    <x v="1"/>
    <x v="1"/>
  </r>
  <r>
    <n v="3251"/>
    <x v="20"/>
    <x v="0"/>
    <d v="2024-03-17T00:00:00"/>
    <x v="1"/>
    <n v="15"/>
    <x v="0"/>
    <s v="Yes"/>
    <x v="0"/>
    <s v="Yes"/>
    <n v="20"/>
    <x v="3"/>
    <x v="3"/>
  </r>
  <r>
    <n v="3252"/>
    <x v="21"/>
    <x v="2"/>
    <d v="2024-03-18T00:00:00"/>
    <x v="0"/>
    <n v="10"/>
    <x v="2"/>
    <s v="No"/>
    <x v="1"/>
    <s v="Yes"/>
    <n v="20"/>
    <x v="6"/>
    <x v="7"/>
  </r>
  <r>
    <n v="3253"/>
    <x v="22"/>
    <x v="1"/>
    <d v="2024-03-19T00:00:00"/>
    <x v="1"/>
    <n v="5"/>
    <x v="0"/>
    <s v="No"/>
    <x v="1"/>
    <s v="No"/>
    <n v="0"/>
    <x v="4"/>
    <x v="4"/>
  </r>
  <r>
    <n v="3254"/>
    <x v="23"/>
    <x v="0"/>
    <d v="2024-03-20T00:00:00"/>
    <x v="0"/>
    <n v="15"/>
    <x v="1"/>
    <s v="Yes"/>
    <x v="0"/>
    <s v="Yes"/>
    <n v="20"/>
    <x v="7"/>
    <x v="8"/>
  </r>
  <r>
    <n v="3255"/>
    <x v="24"/>
    <x v="2"/>
    <d v="2024-03-21T00:00:00"/>
    <x v="1"/>
    <n v="10"/>
    <x v="0"/>
    <s v="No"/>
    <x v="1"/>
    <s v="Yes"/>
    <n v="20"/>
    <x v="2"/>
    <x v="2"/>
  </r>
  <r>
    <n v="3256"/>
    <x v="25"/>
    <x v="1"/>
    <d v="2024-03-22T00:00:00"/>
    <x v="0"/>
    <n v="5"/>
    <x v="2"/>
    <s v="No"/>
    <x v="1"/>
    <s v="No"/>
    <n v="0"/>
    <x v="1"/>
    <x v="1"/>
  </r>
  <r>
    <n v="3257"/>
    <x v="26"/>
    <x v="0"/>
    <d v="2024-03-23T00:00:00"/>
    <x v="1"/>
    <n v="15"/>
    <x v="0"/>
    <s v="Yes"/>
    <x v="0"/>
    <s v="Yes"/>
    <n v="20"/>
    <x v="0"/>
    <x v="0"/>
  </r>
  <r>
    <n v="3258"/>
    <x v="27"/>
    <x v="2"/>
    <d v="2024-03-24T00:00:00"/>
    <x v="0"/>
    <n v="10"/>
    <x v="1"/>
    <s v="No"/>
    <x v="1"/>
    <s v="Yes"/>
    <n v="20"/>
    <x v="6"/>
    <x v="7"/>
  </r>
  <r>
    <n v="3259"/>
    <x v="28"/>
    <x v="1"/>
    <d v="2024-03-25T00:00:00"/>
    <x v="1"/>
    <n v="5"/>
    <x v="0"/>
    <s v="No"/>
    <x v="1"/>
    <s v="No"/>
    <n v="0"/>
    <x v="4"/>
    <x v="4"/>
  </r>
  <r>
    <n v="3260"/>
    <x v="29"/>
    <x v="0"/>
    <d v="2024-03-26T00:00:00"/>
    <x v="0"/>
    <n v="15"/>
    <x v="2"/>
    <s v="Yes"/>
    <x v="0"/>
    <s v="Yes"/>
    <n v="20"/>
    <x v="10"/>
    <x v="12"/>
  </r>
  <r>
    <n v="3261"/>
    <x v="30"/>
    <x v="2"/>
    <d v="2024-03-27T00:00:00"/>
    <x v="1"/>
    <n v="10"/>
    <x v="0"/>
    <s v="No"/>
    <x v="1"/>
    <s v="Yes"/>
    <n v="20"/>
    <x v="2"/>
    <x v="2"/>
  </r>
  <r>
    <n v="3262"/>
    <x v="31"/>
    <x v="1"/>
    <d v="2024-03-28T00:00:00"/>
    <x v="0"/>
    <n v="5"/>
    <x v="1"/>
    <s v="No"/>
    <x v="1"/>
    <s v="No"/>
    <n v="0"/>
    <x v="1"/>
    <x v="1"/>
  </r>
  <r>
    <n v="3263"/>
    <x v="32"/>
    <x v="0"/>
    <d v="2024-03-29T00:00:00"/>
    <x v="1"/>
    <n v="15"/>
    <x v="0"/>
    <s v="Yes"/>
    <x v="0"/>
    <s v="Yes"/>
    <n v="20"/>
    <x v="3"/>
    <x v="3"/>
  </r>
  <r>
    <n v="3264"/>
    <x v="33"/>
    <x v="2"/>
    <d v="2024-03-30T00:00:00"/>
    <x v="0"/>
    <n v="10"/>
    <x v="2"/>
    <s v="No"/>
    <x v="1"/>
    <s v="Yes"/>
    <n v="20"/>
    <x v="6"/>
    <x v="7"/>
  </r>
  <r>
    <n v="3265"/>
    <x v="34"/>
    <x v="1"/>
    <d v="2024-03-31T00:00:00"/>
    <x v="1"/>
    <n v="5"/>
    <x v="0"/>
    <s v="No"/>
    <x v="1"/>
    <s v="No"/>
    <n v="0"/>
    <x v="4"/>
    <x v="4"/>
  </r>
  <r>
    <n v="3266"/>
    <x v="35"/>
    <x v="1"/>
    <d v="2024-04-01T00:00:00"/>
    <x v="0"/>
    <n v="5"/>
    <x v="0"/>
    <s v="No"/>
    <x v="1"/>
    <s v="No"/>
    <n v="0"/>
    <x v="1"/>
    <x v="1"/>
  </r>
  <r>
    <n v="3267"/>
    <x v="36"/>
    <x v="0"/>
    <d v="2024-04-02T00:00:00"/>
    <x v="1"/>
    <n v="15"/>
    <x v="2"/>
    <s v="Yes"/>
    <x v="0"/>
    <s v="Yes"/>
    <n v="20"/>
    <x v="10"/>
    <x v="12"/>
  </r>
  <r>
    <n v="3268"/>
    <x v="37"/>
    <x v="2"/>
    <d v="2024-04-03T00:00:00"/>
    <x v="0"/>
    <n v="10"/>
    <x v="1"/>
    <s v="No"/>
    <x v="1"/>
    <s v="Yes"/>
    <n v="20"/>
    <x v="2"/>
    <x v="2"/>
  </r>
  <r>
    <n v="3269"/>
    <x v="38"/>
    <x v="1"/>
    <d v="2024-04-04T00:00:00"/>
    <x v="1"/>
    <n v="5"/>
    <x v="2"/>
    <s v="No"/>
    <x v="1"/>
    <s v="No"/>
    <n v="0"/>
    <x v="4"/>
    <x v="4"/>
  </r>
  <r>
    <n v="3270"/>
    <x v="39"/>
    <x v="0"/>
    <d v="2024-04-05T00:00:00"/>
    <x v="0"/>
    <n v="15"/>
    <x v="0"/>
    <s v="Yes"/>
    <x v="0"/>
    <s v="Yes"/>
    <n v="20"/>
    <x v="6"/>
    <x v="14"/>
  </r>
  <r>
    <n v="3271"/>
    <x v="40"/>
    <x v="2"/>
    <d v="2024-04-06T00:00:00"/>
    <x v="1"/>
    <n v="10"/>
    <x v="0"/>
    <s v="No"/>
    <x v="1"/>
    <s v="Yes"/>
    <n v="20"/>
    <x v="0"/>
    <x v="13"/>
  </r>
  <r>
    <n v="3272"/>
    <x v="41"/>
    <x v="1"/>
    <d v="2024-04-07T00:00:00"/>
    <x v="0"/>
    <n v="5"/>
    <x v="1"/>
    <s v="No"/>
    <x v="1"/>
    <s v="No"/>
    <n v="0"/>
    <x v="1"/>
    <x v="1"/>
  </r>
  <r>
    <n v="3273"/>
    <x v="42"/>
    <x v="0"/>
    <d v="2024-04-08T00:00:00"/>
    <x v="1"/>
    <n v="15"/>
    <x v="2"/>
    <s v="Yes"/>
    <x v="0"/>
    <s v="Yes"/>
    <n v="20"/>
    <x v="7"/>
    <x v="8"/>
  </r>
  <r>
    <n v="3274"/>
    <x v="43"/>
    <x v="2"/>
    <d v="2024-04-09T00:00:00"/>
    <x v="0"/>
    <n v="10"/>
    <x v="2"/>
    <s v="No"/>
    <x v="1"/>
    <s v="Yes"/>
    <n v="20"/>
    <x v="9"/>
    <x v="10"/>
  </r>
  <r>
    <n v="3275"/>
    <x v="44"/>
    <x v="1"/>
    <d v="2024-04-10T00:00:00"/>
    <x v="1"/>
    <n v="5"/>
    <x v="0"/>
    <s v="No"/>
    <x v="1"/>
    <s v="No"/>
    <n v="0"/>
    <x v="5"/>
    <x v="11"/>
  </r>
  <r>
    <n v="3276"/>
    <x v="45"/>
    <x v="0"/>
    <d v="2024-04-11T00:00:00"/>
    <x v="0"/>
    <n v="15"/>
    <x v="1"/>
    <s v="Yes"/>
    <x v="0"/>
    <s v="Yes"/>
    <n v="20"/>
    <x v="0"/>
    <x v="0"/>
  </r>
  <r>
    <n v="3277"/>
    <x v="46"/>
    <x v="2"/>
    <d v="2024-04-12T00:00:00"/>
    <x v="1"/>
    <n v="10"/>
    <x v="0"/>
    <s v="No"/>
    <x v="1"/>
    <s v="Yes"/>
    <n v="20"/>
    <x v="2"/>
    <x v="2"/>
  </r>
  <r>
    <n v="3278"/>
    <x v="47"/>
    <x v="1"/>
    <d v="2024-04-13T00:00:00"/>
    <x v="0"/>
    <n v="5"/>
    <x v="2"/>
    <s v="No"/>
    <x v="1"/>
    <s v="No"/>
    <n v="0"/>
    <x v="1"/>
    <x v="1"/>
  </r>
  <r>
    <n v="3279"/>
    <x v="48"/>
    <x v="0"/>
    <d v="2024-04-14T00:00:00"/>
    <x v="1"/>
    <n v="15"/>
    <x v="0"/>
    <s v="Yes"/>
    <x v="0"/>
    <s v="Yes"/>
    <n v="20"/>
    <x v="3"/>
    <x v="3"/>
  </r>
  <r>
    <n v="3280"/>
    <x v="49"/>
    <x v="2"/>
    <d v="2024-04-15T00:00:00"/>
    <x v="0"/>
    <n v="10"/>
    <x v="1"/>
    <s v="No"/>
    <x v="1"/>
    <s v="Yes"/>
    <n v="20"/>
    <x v="6"/>
    <x v="7"/>
  </r>
  <r>
    <n v="3281"/>
    <x v="50"/>
    <x v="1"/>
    <d v="2024-04-16T00:00:00"/>
    <x v="1"/>
    <n v="5"/>
    <x v="0"/>
    <s v="No"/>
    <x v="1"/>
    <s v="No"/>
    <n v="0"/>
    <x v="4"/>
    <x v="4"/>
  </r>
  <r>
    <n v="3282"/>
    <x v="51"/>
    <x v="0"/>
    <d v="2024-04-17T00:00:00"/>
    <x v="0"/>
    <n v="15"/>
    <x v="2"/>
    <s v="Yes"/>
    <x v="0"/>
    <s v="Yes"/>
    <n v="20"/>
    <x v="10"/>
    <x v="12"/>
  </r>
  <r>
    <n v="3283"/>
    <x v="52"/>
    <x v="2"/>
    <d v="2024-04-18T00:00:00"/>
    <x v="1"/>
    <n v="10"/>
    <x v="0"/>
    <s v="No"/>
    <x v="1"/>
    <s v="Yes"/>
    <n v="20"/>
    <x v="2"/>
    <x v="2"/>
  </r>
  <r>
    <n v="3284"/>
    <x v="53"/>
    <x v="1"/>
    <d v="2024-04-19T00:00:00"/>
    <x v="0"/>
    <n v="5"/>
    <x v="1"/>
    <s v="No"/>
    <x v="1"/>
    <s v="No"/>
    <n v="0"/>
    <x v="1"/>
    <x v="1"/>
  </r>
  <r>
    <n v="3285"/>
    <x v="54"/>
    <x v="0"/>
    <d v="2024-04-20T00:00:00"/>
    <x v="1"/>
    <n v="15"/>
    <x v="0"/>
    <s v="Yes"/>
    <x v="0"/>
    <s v="Yes"/>
    <n v="20"/>
    <x v="7"/>
    <x v="8"/>
  </r>
  <r>
    <n v="3286"/>
    <x v="55"/>
    <x v="2"/>
    <d v="2024-04-21T00:00:00"/>
    <x v="0"/>
    <n v="10"/>
    <x v="2"/>
    <s v="No"/>
    <x v="1"/>
    <s v="Yes"/>
    <n v="20"/>
    <x v="6"/>
    <x v="7"/>
  </r>
  <r>
    <n v="3287"/>
    <x v="56"/>
    <x v="1"/>
    <d v="2024-04-22T00:00:00"/>
    <x v="1"/>
    <n v="5"/>
    <x v="0"/>
    <s v="No"/>
    <x v="1"/>
    <s v="No"/>
    <n v="0"/>
    <x v="4"/>
    <x v="4"/>
  </r>
  <r>
    <n v="3288"/>
    <x v="57"/>
    <x v="0"/>
    <d v="2024-04-23T00:00:00"/>
    <x v="0"/>
    <n v="15"/>
    <x v="1"/>
    <s v="Yes"/>
    <x v="0"/>
    <s v="Yes"/>
    <n v="20"/>
    <x v="3"/>
    <x v="3"/>
  </r>
  <r>
    <n v="3289"/>
    <x v="58"/>
    <x v="2"/>
    <d v="2024-04-24T00:00:00"/>
    <x v="1"/>
    <n v="10"/>
    <x v="0"/>
    <s v="No"/>
    <x v="1"/>
    <s v="Yes"/>
    <n v="20"/>
    <x v="2"/>
    <x v="2"/>
  </r>
  <r>
    <n v="3290"/>
    <x v="59"/>
    <x v="1"/>
    <d v="2024-04-25T00:00:00"/>
    <x v="0"/>
    <n v="5"/>
    <x v="2"/>
    <s v="No"/>
    <x v="1"/>
    <s v="No"/>
    <n v="0"/>
    <x v="1"/>
    <x v="1"/>
  </r>
  <r>
    <n v="3291"/>
    <x v="60"/>
    <x v="0"/>
    <d v="2024-04-26T00:00:00"/>
    <x v="1"/>
    <n v="15"/>
    <x v="0"/>
    <s v="Yes"/>
    <x v="0"/>
    <s v="Yes"/>
    <n v="20"/>
    <x v="0"/>
    <x v="0"/>
  </r>
  <r>
    <n v="3292"/>
    <x v="61"/>
    <x v="2"/>
    <d v="2024-04-27T00:00:00"/>
    <x v="0"/>
    <n v="10"/>
    <x v="1"/>
    <s v="No"/>
    <x v="1"/>
    <s v="Yes"/>
    <n v="20"/>
    <x v="6"/>
    <x v="7"/>
  </r>
  <r>
    <n v="3293"/>
    <x v="62"/>
    <x v="1"/>
    <d v="2024-04-28T00:00:00"/>
    <x v="1"/>
    <n v="5"/>
    <x v="0"/>
    <s v="No"/>
    <x v="1"/>
    <s v="No"/>
    <n v="0"/>
    <x v="4"/>
    <x v="4"/>
  </r>
  <r>
    <n v="3294"/>
    <x v="63"/>
    <x v="0"/>
    <d v="2024-04-29T00:00:00"/>
    <x v="0"/>
    <n v="15"/>
    <x v="2"/>
    <s v="Yes"/>
    <x v="0"/>
    <s v="Yes"/>
    <n v="20"/>
    <x v="7"/>
    <x v="8"/>
  </r>
  <r>
    <n v="3295"/>
    <x v="64"/>
    <x v="2"/>
    <d v="2024-04-30T00:00:00"/>
    <x v="1"/>
    <n v="10"/>
    <x v="0"/>
    <s v="No"/>
    <x v="1"/>
    <s v="Yes"/>
    <n v="20"/>
    <x v="0"/>
    <x v="13"/>
  </r>
  <r>
    <n v="3296"/>
    <x v="65"/>
    <x v="1"/>
    <d v="2024-05-01T00:00:00"/>
    <x v="1"/>
    <n v="5"/>
    <x v="0"/>
    <s v="No"/>
    <x v="1"/>
    <s v="No"/>
    <n v="0"/>
    <x v="1"/>
    <x v="1"/>
  </r>
  <r>
    <n v="3297"/>
    <x v="66"/>
    <x v="0"/>
    <d v="2024-05-02T00:00:00"/>
    <x v="0"/>
    <n v="15"/>
    <x v="2"/>
    <s v="Yes"/>
    <x v="0"/>
    <s v="Yes"/>
    <n v="20"/>
    <x v="10"/>
    <x v="12"/>
  </r>
  <r>
    <n v="3298"/>
    <x v="67"/>
    <x v="2"/>
    <d v="2024-05-03T00:00:00"/>
    <x v="1"/>
    <n v="10"/>
    <x v="1"/>
    <s v="No"/>
    <x v="1"/>
    <s v="Yes"/>
    <n v="20"/>
    <x v="2"/>
    <x v="2"/>
  </r>
  <r>
    <n v="3299"/>
    <x v="68"/>
    <x v="1"/>
    <d v="2024-05-04T00:00:00"/>
    <x v="0"/>
    <n v="5"/>
    <x v="2"/>
    <s v="No"/>
    <x v="1"/>
    <s v="No"/>
    <n v="0"/>
    <x v="4"/>
    <x v="4"/>
  </r>
  <r>
    <n v="3300"/>
    <x v="69"/>
    <x v="0"/>
    <d v="2024-05-05T00:00:00"/>
    <x v="1"/>
    <n v="15"/>
    <x v="0"/>
    <s v="Yes"/>
    <x v="0"/>
    <s v="Yes"/>
    <n v="20"/>
    <x v="6"/>
    <x v="14"/>
  </r>
  <r>
    <n v="3301"/>
    <x v="70"/>
    <x v="2"/>
    <d v="2024-05-06T00:00:00"/>
    <x v="0"/>
    <n v="10"/>
    <x v="0"/>
    <s v="No"/>
    <x v="1"/>
    <s v="Yes"/>
    <n v="20"/>
    <x v="0"/>
    <x v="13"/>
  </r>
  <r>
    <n v="3302"/>
    <x v="71"/>
    <x v="1"/>
    <d v="2024-05-07T00:00:00"/>
    <x v="1"/>
    <n v="5"/>
    <x v="1"/>
    <s v="No"/>
    <x v="1"/>
    <s v="No"/>
    <n v="0"/>
    <x v="1"/>
    <x v="1"/>
  </r>
  <r>
    <n v="3303"/>
    <x v="72"/>
    <x v="0"/>
    <d v="2024-05-08T00:00:00"/>
    <x v="0"/>
    <n v="15"/>
    <x v="2"/>
    <s v="Yes"/>
    <x v="0"/>
    <s v="Yes"/>
    <n v="20"/>
    <x v="7"/>
    <x v="8"/>
  </r>
  <r>
    <n v="3304"/>
    <x v="73"/>
    <x v="2"/>
    <d v="2024-05-09T00:00:00"/>
    <x v="1"/>
    <n v="10"/>
    <x v="2"/>
    <s v="No"/>
    <x v="1"/>
    <s v="Yes"/>
    <n v="20"/>
    <x v="9"/>
    <x v="10"/>
  </r>
  <r>
    <n v="3305"/>
    <x v="74"/>
    <x v="1"/>
    <d v="2024-05-10T00:00:00"/>
    <x v="0"/>
    <n v="5"/>
    <x v="0"/>
    <s v="No"/>
    <x v="1"/>
    <s v="No"/>
    <n v="0"/>
    <x v="5"/>
    <x v="11"/>
  </r>
  <r>
    <n v="3306"/>
    <x v="75"/>
    <x v="0"/>
    <d v="2024-05-11T00:00:00"/>
    <x v="1"/>
    <n v="15"/>
    <x v="1"/>
    <s v="Yes"/>
    <x v="0"/>
    <s v="Yes"/>
    <n v="20"/>
    <x v="0"/>
    <x v="0"/>
  </r>
  <r>
    <n v="3307"/>
    <x v="76"/>
    <x v="2"/>
    <d v="2024-05-12T00:00:00"/>
    <x v="0"/>
    <n v="10"/>
    <x v="0"/>
    <s v="No"/>
    <x v="1"/>
    <s v="Yes"/>
    <n v="20"/>
    <x v="2"/>
    <x v="2"/>
  </r>
  <r>
    <n v="3308"/>
    <x v="77"/>
    <x v="1"/>
    <d v="2024-05-13T00:00:00"/>
    <x v="1"/>
    <n v="5"/>
    <x v="2"/>
    <s v="No"/>
    <x v="1"/>
    <s v="No"/>
    <n v="0"/>
    <x v="1"/>
    <x v="1"/>
  </r>
  <r>
    <n v="3309"/>
    <x v="78"/>
    <x v="0"/>
    <d v="2024-05-14T00:00:00"/>
    <x v="0"/>
    <n v="15"/>
    <x v="0"/>
    <s v="Yes"/>
    <x v="0"/>
    <s v="Yes"/>
    <n v="20"/>
    <x v="3"/>
    <x v="3"/>
  </r>
  <r>
    <n v="3310"/>
    <x v="79"/>
    <x v="2"/>
    <d v="2024-05-15T00:00:00"/>
    <x v="1"/>
    <n v="10"/>
    <x v="1"/>
    <s v="No"/>
    <x v="1"/>
    <s v="Yes"/>
    <n v="20"/>
    <x v="6"/>
    <x v="7"/>
  </r>
  <r>
    <n v="3311"/>
    <x v="80"/>
    <x v="1"/>
    <d v="2024-05-16T00:00:00"/>
    <x v="0"/>
    <n v="5"/>
    <x v="0"/>
    <s v="No"/>
    <x v="1"/>
    <s v="No"/>
    <n v="0"/>
    <x v="4"/>
    <x v="4"/>
  </r>
  <r>
    <n v="3312"/>
    <x v="81"/>
    <x v="0"/>
    <d v="2024-05-17T00:00:00"/>
    <x v="1"/>
    <n v="15"/>
    <x v="2"/>
    <s v="Yes"/>
    <x v="0"/>
    <s v="Yes"/>
    <n v="20"/>
    <x v="10"/>
    <x v="12"/>
  </r>
  <r>
    <n v="3313"/>
    <x v="82"/>
    <x v="2"/>
    <d v="2024-05-18T00:00:00"/>
    <x v="0"/>
    <n v="10"/>
    <x v="0"/>
    <s v="No"/>
    <x v="1"/>
    <s v="Yes"/>
    <n v="20"/>
    <x v="2"/>
    <x v="2"/>
  </r>
  <r>
    <n v="3314"/>
    <x v="83"/>
    <x v="1"/>
    <d v="2024-05-19T00:00:00"/>
    <x v="1"/>
    <n v="5"/>
    <x v="1"/>
    <s v="No"/>
    <x v="1"/>
    <s v="No"/>
    <n v="0"/>
    <x v="1"/>
    <x v="1"/>
  </r>
  <r>
    <n v="3315"/>
    <x v="84"/>
    <x v="0"/>
    <d v="2024-05-20T00:00:00"/>
    <x v="0"/>
    <n v="15"/>
    <x v="0"/>
    <s v="Yes"/>
    <x v="0"/>
    <s v="Yes"/>
    <n v="20"/>
    <x v="7"/>
    <x v="8"/>
  </r>
  <r>
    <n v="3316"/>
    <x v="85"/>
    <x v="2"/>
    <d v="2024-05-21T00:00:00"/>
    <x v="1"/>
    <n v="10"/>
    <x v="2"/>
    <s v="No"/>
    <x v="1"/>
    <s v="Yes"/>
    <n v="20"/>
    <x v="6"/>
    <x v="7"/>
  </r>
  <r>
    <n v="3317"/>
    <x v="86"/>
    <x v="1"/>
    <d v="2024-05-22T00:00:00"/>
    <x v="0"/>
    <n v="5"/>
    <x v="0"/>
    <s v="No"/>
    <x v="1"/>
    <s v="No"/>
    <n v="0"/>
    <x v="4"/>
    <x v="4"/>
  </r>
  <r>
    <n v="3318"/>
    <x v="87"/>
    <x v="0"/>
    <d v="2024-05-23T00:00:00"/>
    <x v="1"/>
    <n v="15"/>
    <x v="1"/>
    <s v="Yes"/>
    <x v="0"/>
    <s v="Yes"/>
    <n v="20"/>
    <x v="3"/>
    <x v="3"/>
  </r>
  <r>
    <n v="3319"/>
    <x v="88"/>
    <x v="2"/>
    <d v="2024-05-24T00:00:00"/>
    <x v="0"/>
    <n v="10"/>
    <x v="0"/>
    <s v="No"/>
    <x v="1"/>
    <s v="Yes"/>
    <n v="20"/>
    <x v="2"/>
    <x v="2"/>
  </r>
  <r>
    <n v="3320"/>
    <x v="89"/>
    <x v="1"/>
    <d v="2024-05-25T00:00:00"/>
    <x v="1"/>
    <n v="5"/>
    <x v="2"/>
    <s v="No"/>
    <x v="1"/>
    <s v="No"/>
    <n v="0"/>
    <x v="1"/>
    <x v="1"/>
  </r>
  <r>
    <n v="3321"/>
    <x v="90"/>
    <x v="0"/>
    <d v="2024-05-26T00:00:00"/>
    <x v="0"/>
    <n v="15"/>
    <x v="0"/>
    <s v="Yes"/>
    <x v="0"/>
    <s v="Yes"/>
    <n v="20"/>
    <x v="0"/>
    <x v="0"/>
  </r>
  <r>
    <n v="3322"/>
    <x v="91"/>
    <x v="2"/>
    <d v="2024-05-27T00:00:00"/>
    <x v="1"/>
    <n v="10"/>
    <x v="1"/>
    <s v="No"/>
    <x v="1"/>
    <s v="Yes"/>
    <n v="20"/>
    <x v="6"/>
    <x v="7"/>
  </r>
  <r>
    <n v="3323"/>
    <x v="92"/>
    <x v="1"/>
    <d v="2024-05-28T00:00:00"/>
    <x v="0"/>
    <n v="5"/>
    <x v="0"/>
    <s v="No"/>
    <x v="1"/>
    <s v="No"/>
    <n v="0"/>
    <x v="4"/>
    <x v="4"/>
  </r>
  <r>
    <n v="3324"/>
    <x v="93"/>
    <x v="0"/>
    <d v="2024-05-29T00:00:00"/>
    <x v="1"/>
    <n v="15"/>
    <x v="2"/>
    <s v="Yes"/>
    <x v="0"/>
    <s v="Yes"/>
    <n v="20"/>
    <x v="7"/>
    <x v="8"/>
  </r>
  <r>
    <n v="3325"/>
    <x v="94"/>
    <x v="2"/>
    <d v="2024-05-30T00:00:00"/>
    <x v="0"/>
    <n v="10"/>
    <x v="2"/>
    <s v="No"/>
    <x v="1"/>
    <s v="Yes"/>
    <n v="20"/>
    <x v="6"/>
    <x v="7"/>
  </r>
  <r>
    <n v="3326"/>
    <x v="95"/>
    <x v="1"/>
    <d v="2024-05-31T00:00:00"/>
    <x v="1"/>
    <n v="5"/>
    <x v="1"/>
    <s v="No"/>
    <x v="1"/>
    <s v="No"/>
    <n v="0"/>
    <x v="1"/>
    <x v="1"/>
  </r>
  <r>
    <n v="3327"/>
    <x v="96"/>
    <x v="0"/>
    <d v="2024-06-01T00:00:00"/>
    <x v="0"/>
    <n v="15"/>
    <x v="0"/>
    <s v="Yes"/>
    <x v="0"/>
    <s v="Yes"/>
    <n v="20"/>
    <x v="10"/>
    <x v="12"/>
  </r>
  <r>
    <n v="3328"/>
    <x v="97"/>
    <x v="2"/>
    <d v="2024-06-02T00:00:00"/>
    <x v="1"/>
    <n v="10"/>
    <x v="1"/>
    <s v="No"/>
    <x v="1"/>
    <s v="Yes"/>
    <n v="20"/>
    <x v="2"/>
    <x v="2"/>
  </r>
  <r>
    <n v="3329"/>
    <x v="98"/>
    <x v="1"/>
    <d v="2024-06-03T00:00:00"/>
    <x v="0"/>
    <n v="5"/>
    <x v="2"/>
    <s v="No"/>
    <x v="1"/>
    <s v="No"/>
    <n v="0"/>
    <x v="4"/>
    <x v="4"/>
  </r>
  <r>
    <n v="3330"/>
    <x v="99"/>
    <x v="0"/>
    <d v="2024-06-04T00:00:00"/>
    <x v="1"/>
    <n v="15"/>
    <x v="0"/>
    <s v="Yes"/>
    <x v="0"/>
    <s v="Yes"/>
    <n v="20"/>
    <x v="6"/>
    <x v="14"/>
  </r>
  <r>
    <n v="3331"/>
    <x v="100"/>
    <x v="2"/>
    <d v="2024-06-05T00:00:00"/>
    <x v="0"/>
    <n v="10"/>
    <x v="0"/>
    <s v="No"/>
    <x v="1"/>
    <s v="Yes"/>
    <n v="20"/>
    <x v="0"/>
    <x v="13"/>
  </r>
  <r>
    <n v="3332"/>
    <x v="101"/>
    <x v="1"/>
    <d v="2024-06-06T00:00:00"/>
    <x v="1"/>
    <n v="5"/>
    <x v="1"/>
    <s v="No"/>
    <x v="1"/>
    <s v="No"/>
    <n v="0"/>
    <x v="1"/>
    <x v="1"/>
  </r>
  <r>
    <n v="3333"/>
    <x v="102"/>
    <x v="0"/>
    <d v="2024-06-07T00:00:00"/>
    <x v="0"/>
    <n v="15"/>
    <x v="2"/>
    <s v="Yes"/>
    <x v="0"/>
    <s v="Yes"/>
    <n v="20"/>
    <x v="7"/>
    <x v="8"/>
  </r>
  <r>
    <n v="3334"/>
    <x v="103"/>
    <x v="2"/>
    <d v="2024-06-08T00:00:00"/>
    <x v="1"/>
    <n v="10"/>
    <x v="2"/>
    <s v="No"/>
    <x v="1"/>
    <s v="Yes"/>
    <n v="20"/>
    <x v="9"/>
    <x v="10"/>
  </r>
  <r>
    <n v="3335"/>
    <x v="104"/>
    <x v="1"/>
    <d v="2024-06-09T00:00:00"/>
    <x v="0"/>
    <n v="5"/>
    <x v="0"/>
    <s v="No"/>
    <x v="1"/>
    <s v="No"/>
    <n v="0"/>
    <x v="5"/>
    <x v="11"/>
  </r>
  <r>
    <n v="3336"/>
    <x v="105"/>
    <x v="1"/>
    <d v="2024-06-10T00:00:00"/>
    <x v="0"/>
    <n v="5"/>
    <x v="0"/>
    <s v="No"/>
    <x v="1"/>
    <s v="No"/>
    <n v="0"/>
    <x v="1"/>
    <x v="1"/>
  </r>
  <r>
    <n v="3337"/>
    <x v="106"/>
    <x v="0"/>
    <d v="2024-06-11T00:00:00"/>
    <x v="1"/>
    <n v="15"/>
    <x v="2"/>
    <s v="Yes"/>
    <x v="0"/>
    <s v="Yes"/>
    <n v="20"/>
    <x v="10"/>
    <x v="12"/>
  </r>
  <r>
    <n v="3338"/>
    <x v="107"/>
    <x v="2"/>
    <d v="2024-06-12T00:00:00"/>
    <x v="0"/>
    <n v="10"/>
    <x v="1"/>
    <s v="No"/>
    <x v="1"/>
    <s v="Yes"/>
    <n v="20"/>
    <x v="2"/>
    <x v="2"/>
  </r>
  <r>
    <n v="3339"/>
    <x v="108"/>
    <x v="1"/>
    <d v="2024-06-13T00:00:00"/>
    <x v="1"/>
    <n v="5"/>
    <x v="2"/>
    <s v="No"/>
    <x v="1"/>
    <s v="No"/>
    <n v="0"/>
    <x v="4"/>
    <x v="4"/>
  </r>
  <r>
    <n v="3340"/>
    <x v="109"/>
    <x v="0"/>
    <d v="2024-06-14T00:00:00"/>
    <x v="0"/>
    <n v="15"/>
    <x v="0"/>
    <s v="Yes"/>
    <x v="0"/>
    <s v="Yes"/>
    <n v="20"/>
    <x v="6"/>
    <x v="14"/>
  </r>
  <r>
    <n v="3341"/>
    <x v="110"/>
    <x v="2"/>
    <d v="2024-06-15T00:00:00"/>
    <x v="1"/>
    <n v="10"/>
    <x v="0"/>
    <s v="No"/>
    <x v="1"/>
    <s v="Yes"/>
    <n v="20"/>
    <x v="0"/>
    <x v="13"/>
  </r>
  <r>
    <n v="3342"/>
    <x v="111"/>
    <x v="1"/>
    <d v="2024-06-16T00:00:00"/>
    <x v="0"/>
    <n v="5"/>
    <x v="1"/>
    <s v="No"/>
    <x v="1"/>
    <s v="No"/>
    <n v="0"/>
    <x v="1"/>
    <x v="1"/>
  </r>
  <r>
    <n v="3343"/>
    <x v="112"/>
    <x v="0"/>
    <d v="2024-06-17T00:00:00"/>
    <x v="1"/>
    <n v="15"/>
    <x v="2"/>
    <s v="Yes"/>
    <x v="0"/>
    <s v="Yes"/>
    <n v="20"/>
    <x v="7"/>
    <x v="8"/>
  </r>
  <r>
    <n v="3344"/>
    <x v="113"/>
    <x v="2"/>
    <d v="2024-06-18T00:00:00"/>
    <x v="0"/>
    <n v="10"/>
    <x v="2"/>
    <s v="No"/>
    <x v="1"/>
    <s v="Yes"/>
    <n v="20"/>
    <x v="9"/>
    <x v="10"/>
  </r>
  <r>
    <n v="3345"/>
    <x v="114"/>
    <x v="1"/>
    <d v="2024-06-19T00:00:00"/>
    <x v="1"/>
    <n v="5"/>
    <x v="0"/>
    <s v="No"/>
    <x v="1"/>
    <s v="No"/>
    <n v="0"/>
    <x v="5"/>
    <x v="11"/>
  </r>
  <r>
    <n v="3346"/>
    <x v="115"/>
    <x v="0"/>
    <d v="2024-06-20T00:00:00"/>
    <x v="0"/>
    <n v="15"/>
    <x v="1"/>
    <s v="Yes"/>
    <x v="0"/>
    <s v="Yes"/>
    <n v="20"/>
    <x v="0"/>
    <x v="0"/>
  </r>
  <r>
    <n v="3347"/>
    <x v="116"/>
    <x v="2"/>
    <d v="2024-06-21T00:00:00"/>
    <x v="1"/>
    <n v="10"/>
    <x v="0"/>
    <s v="No"/>
    <x v="1"/>
    <s v="Yes"/>
    <n v="20"/>
    <x v="2"/>
    <x v="2"/>
  </r>
  <r>
    <n v="3348"/>
    <x v="117"/>
    <x v="1"/>
    <d v="2024-06-22T00:00:00"/>
    <x v="0"/>
    <n v="5"/>
    <x v="2"/>
    <s v="No"/>
    <x v="1"/>
    <s v="No"/>
    <n v="0"/>
    <x v="1"/>
    <x v="1"/>
  </r>
  <r>
    <n v="3349"/>
    <x v="93"/>
    <x v="0"/>
    <d v="2024-06-23T00:00:00"/>
    <x v="1"/>
    <n v="15"/>
    <x v="0"/>
    <s v="Yes"/>
    <x v="0"/>
    <s v="Yes"/>
    <n v="20"/>
    <x v="3"/>
    <x v="3"/>
  </r>
  <r>
    <n v="3350"/>
    <x v="118"/>
    <x v="2"/>
    <d v="2024-06-24T00:00:00"/>
    <x v="0"/>
    <n v="10"/>
    <x v="1"/>
    <s v="No"/>
    <x v="1"/>
    <s v="Yes"/>
    <n v="20"/>
    <x v="6"/>
    <x v="7"/>
  </r>
  <r>
    <n v="3351"/>
    <x v="119"/>
    <x v="1"/>
    <d v="2024-06-25T00:00:00"/>
    <x v="1"/>
    <n v="5"/>
    <x v="0"/>
    <s v="No"/>
    <x v="1"/>
    <s v="No"/>
    <n v="0"/>
    <x v="4"/>
    <x v="4"/>
  </r>
  <r>
    <n v="3352"/>
    <x v="120"/>
    <x v="0"/>
    <d v="2024-06-26T00:00:00"/>
    <x v="0"/>
    <n v="15"/>
    <x v="2"/>
    <s v="Yes"/>
    <x v="0"/>
    <s v="Yes"/>
    <n v="20"/>
    <x v="10"/>
    <x v="12"/>
  </r>
  <r>
    <n v="3353"/>
    <x v="121"/>
    <x v="2"/>
    <d v="2024-06-27T00:00:00"/>
    <x v="1"/>
    <n v="10"/>
    <x v="0"/>
    <s v="No"/>
    <x v="1"/>
    <s v="Yes"/>
    <n v="20"/>
    <x v="2"/>
    <x v="2"/>
  </r>
  <r>
    <n v="3354"/>
    <x v="122"/>
    <x v="1"/>
    <d v="2024-06-28T00:00:00"/>
    <x v="0"/>
    <n v="5"/>
    <x v="1"/>
    <s v="No"/>
    <x v="1"/>
    <s v="No"/>
    <n v="0"/>
    <x v="1"/>
    <x v="1"/>
  </r>
  <r>
    <n v="3355"/>
    <x v="123"/>
    <x v="0"/>
    <d v="2024-06-29T00:00:00"/>
    <x v="1"/>
    <n v="15"/>
    <x v="0"/>
    <s v="Yes"/>
    <x v="0"/>
    <s v="Yes"/>
    <n v="20"/>
    <x v="7"/>
    <x v="8"/>
  </r>
  <r>
    <n v="3356"/>
    <x v="124"/>
    <x v="2"/>
    <d v="2024-06-30T00:00:00"/>
    <x v="0"/>
    <n v="10"/>
    <x v="2"/>
    <s v="No"/>
    <x v="1"/>
    <s v="Yes"/>
    <n v="20"/>
    <x v="6"/>
    <x v="7"/>
  </r>
  <r>
    <n v="3357"/>
    <x v="125"/>
    <x v="1"/>
    <d v="2024-07-01T00:00:00"/>
    <x v="1"/>
    <n v="5"/>
    <x v="0"/>
    <s v="No"/>
    <x v="1"/>
    <s v="No"/>
    <n v="0"/>
    <x v="4"/>
    <x v="4"/>
  </r>
  <r>
    <n v="3358"/>
    <x v="126"/>
    <x v="0"/>
    <d v="2024-07-02T00:00:00"/>
    <x v="0"/>
    <n v="15"/>
    <x v="1"/>
    <s v="Yes"/>
    <x v="0"/>
    <s v="Yes"/>
    <n v="20"/>
    <x v="3"/>
    <x v="3"/>
  </r>
  <r>
    <n v="3359"/>
    <x v="127"/>
    <x v="2"/>
    <d v="2024-07-03T00:00:00"/>
    <x v="1"/>
    <n v="10"/>
    <x v="0"/>
    <s v="No"/>
    <x v="1"/>
    <s v="Yes"/>
    <n v="20"/>
    <x v="2"/>
    <x v="2"/>
  </r>
  <r>
    <n v="3360"/>
    <x v="128"/>
    <x v="1"/>
    <d v="2024-07-04T00:00:00"/>
    <x v="0"/>
    <n v="5"/>
    <x v="2"/>
    <s v="No"/>
    <x v="1"/>
    <s v="No"/>
    <n v="0"/>
    <x v="1"/>
    <x v="1"/>
  </r>
  <r>
    <n v="3361"/>
    <x v="129"/>
    <x v="0"/>
    <d v="2024-07-05T00:00:00"/>
    <x v="1"/>
    <n v="15"/>
    <x v="0"/>
    <s v="Yes"/>
    <x v="0"/>
    <s v="Yes"/>
    <n v="20"/>
    <x v="6"/>
    <x v="14"/>
  </r>
  <r>
    <n v="3362"/>
    <x v="130"/>
    <x v="2"/>
    <d v="2024-07-06T00:00:00"/>
    <x v="0"/>
    <n v="10"/>
    <x v="1"/>
    <s v="No"/>
    <x v="1"/>
    <s v="Yes"/>
    <n v="20"/>
    <x v="6"/>
    <x v="7"/>
  </r>
  <r>
    <n v="3363"/>
    <x v="131"/>
    <x v="1"/>
    <d v="2024-07-07T00:00:00"/>
    <x v="1"/>
    <n v="5"/>
    <x v="0"/>
    <s v="No"/>
    <x v="1"/>
    <s v="No"/>
    <n v="0"/>
    <x v="4"/>
    <x v="4"/>
  </r>
  <r>
    <n v="3364"/>
    <x v="132"/>
    <x v="0"/>
    <d v="2024-07-08T00:00:00"/>
    <x v="0"/>
    <n v="15"/>
    <x v="2"/>
    <s v="Yes"/>
    <x v="0"/>
    <s v="Yes"/>
    <n v="20"/>
    <x v="10"/>
    <x v="12"/>
  </r>
  <r>
    <n v="3365"/>
    <x v="133"/>
    <x v="2"/>
    <d v="2024-07-09T00:00:00"/>
    <x v="1"/>
    <n v="10"/>
    <x v="0"/>
    <s v="No"/>
    <x v="1"/>
    <s v="Yes"/>
    <n v="20"/>
    <x v="2"/>
    <x v="2"/>
  </r>
  <r>
    <n v="3366"/>
    <x v="134"/>
    <x v="1"/>
    <d v="2024-07-10T00:00:00"/>
    <x v="0"/>
    <n v="5"/>
    <x v="0"/>
    <s v="No"/>
    <x v="1"/>
    <s v="No"/>
    <n v="0"/>
    <x v="1"/>
    <x v="1"/>
  </r>
  <r>
    <n v="3367"/>
    <x v="135"/>
    <x v="0"/>
    <d v="2024-07-11T00:00:00"/>
    <x v="1"/>
    <n v="15"/>
    <x v="2"/>
    <s v="Yes"/>
    <x v="0"/>
    <s v="Yes"/>
    <n v="20"/>
    <x v="10"/>
    <x v="12"/>
  </r>
  <r>
    <n v="3368"/>
    <x v="136"/>
    <x v="2"/>
    <d v="2024-07-12T00:00:00"/>
    <x v="0"/>
    <n v="10"/>
    <x v="1"/>
    <s v="No"/>
    <x v="1"/>
    <s v="Yes"/>
    <n v="20"/>
    <x v="2"/>
    <x v="2"/>
  </r>
  <r>
    <n v="3369"/>
    <x v="137"/>
    <x v="1"/>
    <d v="2024-07-13T00:00:00"/>
    <x v="1"/>
    <n v="5"/>
    <x v="2"/>
    <s v="No"/>
    <x v="1"/>
    <s v="No"/>
    <n v="0"/>
    <x v="4"/>
    <x v="4"/>
  </r>
  <r>
    <n v="3370"/>
    <x v="138"/>
    <x v="0"/>
    <d v="2024-07-14T00:00:00"/>
    <x v="0"/>
    <n v="15"/>
    <x v="0"/>
    <s v="Yes"/>
    <x v="0"/>
    <s v="Yes"/>
    <n v="20"/>
    <x v="6"/>
    <x v="14"/>
  </r>
  <r>
    <n v="3371"/>
    <x v="139"/>
    <x v="2"/>
    <d v="2024-07-15T00:00:00"/>
    <x v="1"/>
    <n v="10"/>
    <x v="0"/>
    <s v="No"/>
    <x v="1"/>
    <s v="Yes"/>
    <n v="20"/>
    <x v="0"/>
    <x v="13"/>
  </r>
  <r>
    <n v="3372"/>
    <x v="140"/>
    <x v="1"/>
    <d v="2024-07-16T00:00:00"/>
    <x v="0"/>
    <n v="5"/>
    <x v="1"/>
    <s v="No"/>
    <x v="1"/>
    <s v="No"/>
    <n v="0"/>
    <x v="1"/>
    <x v="1"/>
  </r>
  <r>
    <n v="3373"/>
    <x v="141"/>
    <x v="0"/>
    <d v="2024-07-17T00:00:00"/>
    <x v="1"/>
    <n v="15"/>
    <x v="2"/>
    <s v="Yes"/>
    <x v="0"/>
    <s v="Yes"/>
    <n v="20"/>
    <x v="7"/>
    <x v="8"/>
  </r>
  <r>
    <n v="3374"/>
    <x v="142"/>
    <x v="2"/>
    <d v="2024-07-18T00:00:00"/>
    <x v="0"/>
    <n v="10"/>
    <x v="2"/>
    <s v="No"/>
    <x v="1"/>
    <s v="Yes"/>
    <n v="20"/>
    <x v="9"/>
    <x v="10"/>
  </r>
  <r>
    <n v="3375"/>
    <x v="143"/>
    <x v="1"/>
    <d v="2024-07-19T00:00:00"/>
    <x v="1"/>
    <n v="5"/>
    <x v="0"/>
    <s v="No"/>
    <x v="1"/>
    <s v="No"/>
    <n v="0"/>
    <x v="5"/>
    <x v="11"/>
  </r>
  <r>
    <n v="3376"/>
    <x v="144"/>
    <x v="0"/>
    <d v="2024-07-20T00:00:00"/>
    <x v="0"/>
    <n v="15"/>
    <x v="1"/>
    <s v="Yes"/>
    <x v="0"/>
    <s v="Yes"/>
    <n v="20"/>
    <x v="0"/>
    <x v="0"/>
  </r>
  <r>
    <n v="3377"/>
    <x v="145"/>
    <x v="2"/>
    <d v="2024-07-21T00:00:00"/>
    <x v="1"/>
    <n v="10"/>
    <x v="0"/>
    <s v="No"/>
    <x v="1"/>
    <s v="Yes"/>
    <n v="20"/>
    <x v="2"/>
    <x v="2"/>
  </r>
  <r>
    <n v="3378"/>
    <x v="146"/>
    <x v="1"/>
    <d v="2024-07-22T00:00:00"/>
    <x v="0"/>
    <n v="5"/>
    <x v="2"/>
    <s v="No"/>
    <x v="1"/>
    <s v="No"/>
    <n v="0"/>
    <x v="1"/>
    <x v="1"/>
  </r>
  <r>
    <n v="3379"/>
    <x v="147"/>
    <x v="0"/>
    <d v="2024-07-23T00:00:00"/>
    <x v="1"/>
    <n v="15"/>
    <x v="0"/>
    <s v="Yes"/>
    <x v="0"/>
    <s v="Yes"/>
    <n v="20"/>
    <x v="3"/>
    <x v="3"/>
  </r>
  <r>
    <n v="3380"/>
    <x v="148"/>
    <x v="2"/>
    <d v="2024-07-24T00:00:00"/>
    <x v="0"/>
    <n v="10"/>
    <x v="1"/>
    <s v="No"/>
    <x v="1"/>
    <s v="Yes"/>
    <n v="20"/>
    <x v="6"/>
    <x v="7"/>
  </r>
  <r>
    <n v="3381"/>
    <x v="149"/>
    <x v="1"/>
    <d v="2024-07-25T00:00:00"/>
    <x v="1"/>
    <n v="5"/>
    <x v="0"/>
    <s v="No"/>
    <x v="1"/>
    <s v="No"/>
    <n v="0"/>
    <x v="4"/>
    <x v="4"/>
  </r>
  <r>
    <n v="3382"/>
    <x v="150"/>
    <x v="0"/>
    <d v="2024-07-26T00:00:00"/>
    <x v="0"/>
    <n v="15"/>
    <x v="2"/>
    <s v="Yes"/>
    <x v="0"/>
    <s v="Yes"/>
    <n v="20"/>
    <x v="10"/>
    <x v="12"/>
  </r>
  <r>
    <n v="3383"/>
    <x v="151"/>
    <x v="2"/>
    <d v="2024-07-27T00:00:00"/>
    <x v="1"/>
    <n v="10"/>
    <x v="0"/>
    <s v="No"/>
    <x v="1"/>
    <s v="Yes"/>
    <n v="20"/>
    <x v="2"/>
    <x v="2"/>
  </r>
  <r>
    <n v="3384"/>
    <x v="152"/>
    <x v="1"/>
    <d v="2024-07-28T00:00:00"/>
    <x v="0"/>
    <n v="5"/>
    <x v="1"/>
    <s v="No"/>
    <x v="1"/>
    <s v="No"/>
    <n v="0"/>
    <x v="1"/>
    <x v="1"/>
  </r>
  <r>
    <n v="3385"/>
    <x v="153"/>
    <x v="0"/>
    <d v="2024-07-29T00:00:00"/>
    <x v="1"/>
    <n v="15"/>
    <x v="0"/>
    <s v="Yes"/>
    <x v="0"/>
    <s v="Yes"/>
    <n v="20"/>
    <x v="7"/>
    <x v="8"/>
  </r>
  <r>
    <n v="3386"/>
    <x v="154"/>
    <x v="2"/>
    <d v="2024-07-30T00:00:00"/>
    <x v="0"/>
    <n v="10"/>
    <x v="2"/>
    <s v="No"/>
    <x v="1"/>
    <s v="Yes"/>
    <n v="20"/>
    <x v="6"/>
    <x v="7"/>
  </r>
  <r>
    <n v="3387"/>
    <x v="155"/>
    <x v="1"/>
    <d v="2024-07-31T00:00:00"/>
    <x v="1"/>
    <n v="5"/>
    <x v="0"/>
    <s v="No"/>
    <x v="1"/>
    <s v="No"/>
    <n v="0"/>
    <x v="4"/>
    <x v="4"/>
  </r>
  <r>
    <n v="3388"/>
    <x v="156"/>
    <x v="0"/>
    <d v="2024-08-01T00:00:00"/>
    <x v="0"/>
    <n v="15"/>
    <x v="1"/>
    <s v="Yes"/>
    <x v="0"/>
    <s v="Yes"/>
    <n v="20"/>
    <x v="3"/>
    <x v="3"/>
  </r>
  <r>
    <n v="3389"/>
    <x v="157"/>
    <x v="2"/>
    <d v="2024-08-02T00:00:00"/>
    <x v="1"/>
    <n v="10"/>
    <x v="0"/>
    <s v="No"/>
    <x v="1"/>
    <s v="Yes"/>
    <n v="20"/>
    <x v="2"/>
    <x v="2"/>
  </r>
  <r>
    <n v="3390"/>
    <x v="158"/>
    <x v="1"/>
    <d v="2024-08-03T00:00:00"/>
    <x v="0"/>
    <n v="5"/>
    <x v="2"/>
    <s v="No"/>
    <x v="1"/>
    <s v="No"/>
    <n v="0"/>
    <x v="1"/>
    <x v="1"/>
  </r>
  <r>
    <n v="3391"/>
    <x v="58"/>
    <x v="0"/>
    <d v="2024-08-04T00:00:00"/>
    <x v="1"/>
    <n v="15"/>
    <x v="0"/>
    <s v="Yes"/>
    <x v="0"/>
    <s v="Yes"/>
    <n v="20"/>
    <x v="6"/>
    <x v="14"/>
  </r>
  <r>
    <n v="3392"/>
    <x v="159"/>
    <x v="2"/>
    <d v="2024-08-05T00:00:00"/>
    <x v="0"/>
    <n v="10"/>
    <x v="1"/>
    <s v="No"/>
    <x v="1"/>
    <s v="Yes"/>
    <n v="20"/>
    <x v="6"/>
    <x v="7"/>
  </r>
  <r>
    <n v="3393"/>
    <x v="160"/>
    <x v="1"/>
    <d v="2024-08-06T00:00:00"/>
    <x v="1"/>
    <n v="5"/>
    <x v="0"/>
    <s v="No"/>
    <x v="1"/>
    <s v="No"/>
    <n v="0"/>
    <x v="4"/>
    <x v="4"/>
  </r>
  <r>
    <n v="3394"/>
    <x v="161"/>
    <x v="0"/>
    <d v="2024-08-07T00:00:00"/>
    <x v="0"/>
    <n v="15"/>
    <x v="2"/>
    <s v="Yes"/>
    <x v="0"/>
    <s v="Yes"/>
    <n v="20"/>
    <x v="10"/>
    <x v="12"/>
  </r>
  <r>
    <n v="3395"/>
    <x v="162"/>
    <x v="2"/>
    <d v="2024-08-08T00:00:00"/>
    <x v="1"/>
    <n v="10"/>
    <x v="0"/>
    <s v="No"/>
    <x v="1"/>
    <s v="Yes"/>
    <n v="20"/>
    <x v="2"/>
    <x v="2"/>
  </r>
  <r>
    <n v="3396"/>
    <x v="163"/>
    <x v="1"/>
    <d v="2024-08-09T00:00:00"/>
    <x v="0"/>
    <n v="5"/>
    <x v="1"/>
    <s v="No"/>
    <x v="1"/>
    <s v="No"/>
    <n v="0"/>
    <x v="1"/>
    <x v="1"/>
  </r>
  <r>
    <n v="3397"/>
    <x v="90"/>
    <x v="0"/>
    <d v="2024-08-10T00:00:00"/>
    <x v="1"/>
    <n v="15"/>
    <x v="0"/>
    <s v="Yes"/>
    <x v="0"/>
    <s v="Yes"/>
    <n v="20"/>
    <x v="7"/>
    <x v="8"/>
  </r>
  <r>
    <n v="3398"/>
    <x v="164"/>
    <x v="2"/>
    <d v="2024-08-11T00:00:00"/>
    <x v="0"/>
    <n v="10"/>
    <x v="2"/>
    <s v="No"/>
    <x v="1"/>
    <s v="Yes"/>
    <n v="20"/>
    <x v="6"/>
    <x v="7"/>
  </r>
  <r>
    <n v="3399"/>
    <x v="165"/>
    <x v="1"/>
    <d v="2024-08-12T00:00:00"/>
    <x v="1"/>
    <n v="5"/>
    <x v="0"/>
    <s v="No"/>
    <x v="1"/>
    <s v="No"/>
    <n v="0"/>
    <x v="4"/>
    <x v="4"/>
  </r>
  <r>
    <n v="3400"/>
    <x v="166"/>
    <x v="0"/>
    <d v="2024-08-13T00:00:00"/>
    <x v="0"/>
    <n v="15"/>
    <x v="1"/>
    <s v="Yes"/>
    <x v="0"/>
    <s v="Yes"/>
    <n v="20"/>
    <x v="0"/>
    <x v="0"/>
  </r>
  <r>
    <n v="3401"/>
    <x v="167"/>
    <x v="2"/>
    <d v="2024-08-14T00:00:00"/>
    <x v="1"/>
    <n v="10"/>
    <x v="0"/>
    <s v="No"/>
    <x v="1"/>
    <s v="Yes"/>
    <n v="20"/>
    <x v="2"/>
    <x v="2"/>
  </r>
  <r>
    <n v="3402"/>
    <x v="168"/>
    <x v="1"/>
    <d v="2024-08-15T00:00:00"/>
    <x v="0"/>
    <n v="5"/>
    <x v="2"/>
    <s v="No"/>
    <x v="1"/>
    <s v="No"/>
    <n v="0"/>
    <x v="1"/>
    <x v="1"/>
  </r>
  <r>
    <n v="3403"/>
    <x v="169"/>
    <x v="0"/>
    <d v="2024-08-16T00:00:00"/>
    <x v="1"/>
    <n v="15"/>
    <x v="0"/>
    <s v="Yes"/>
    <x v="0"/>
    <s v="Yes"/>
    <n v="20"/>
    <x v="3"/>
    <x v="3"/>
  </r>
  <r>
    <n v="3404"/>
    <x v="170"/>
    <x v="2"/>
    <d v="2024-08-17T00:00:00"/>
    <x v="0"/>
    <n v="10"/>
    <x v="1"/>
    <s v="No"/>
    <x v="1"/>
    <s v="Yes"/>
    <n v="20"/>
    <x v="6"/>
    <x v="7"/>
  </r>
  <r>
    <n v="3405"/>
    <x v="171"/>
    <x v="1"/>
    <d v="2024-08-18T00:00:00"/>
    <x v="1"/>
    <n v="5"/>
    <x v="0"/>
    <s v="No"/>
    <x v="1"/>
    <s v="No"/>
    <n v="0"/>
    <x v="4"/>
    <x v="4"/>
  </r>
  <r>
    <n v="3406"/>
    <x v="172"/>
    <x v="1"/>
    <d v="2024-08-19T00:00:00"/>
    <x v="0"/>
    <n v="5"/>
    <x v="0"/>
    <s v="No"/>
    <x v="1"/>
    <s v="No"/>
    <n v="0"/>
    <x v="1"/>
    <x v="1"/>
  </r>
  <r>
    <n v="3407"/>
    <x v="173"/>
    <x v="0"/>
    <d v="2024-08-20T00:00:00"/>
    <x v="1"/>
    <n v="15"/>
    <x v="2"/>
    <s v="Yes"/>
    <x v="0"/>
    <s v="Yes"/>
    <n v="20"/>
    <x v="10"/>
    <x v="12"/>
  </r>
  <r>
    <n v="3408"/>
    <x v="174"/>
    <x v="2"/>
    <d v="2024-08-21T00:00:00"/>
    <x v="0"/>
    <n v="10"/>
    <x v="1"/>
    <s v="No"/>
    <x v="1"/>
    <s v="Yes"/>
    <n v="20"/>
    <x v="2"/>
    <x v="2"/>
  </r>
  <r>
    <n v="3409"/>
    <x v="175"/>
    <x v="1"/>
    <d v="2024-08-22T00:00:00"/>
    <x v="1"/>
    <n v="5"/>
    <x v="2"/>
    <s v="No"/>
    <x v="1"/>
    <s v="No"/>
    <n v="0"/>
    <x v="4"/>
    <x v="4"/>
  </r>
  <r>
    <n v="3410"/>
    <x v="176"/>
    <x v="0"/>
    <d v="2024-08-23T00:00:00"/>
    <x v="0"/>
    <n v="15"/>
    <x v="0"/>
    <s v="Yes"/>
    <x v="0"/>
    <s v="Yes"/>
    <n v="20"/>
    <x v="6"/>
    <x v="14"/>
  </r>
  <r>
    <n v="3411"/>
    <x v="177"/>
    <x v="2"/>
    <d v="2024-08-24T00:00:00"/>
    <x v="1"/>
    <n v="10"/>
    <x v="0"/>
    <s v="No"/>
    <x v="1"/>
    <s v="Yes"/>
    <n v="20"/>
    <x v="0"/>
    <x v="13"/>
  </r>
  <r>
    <n v="3412"/>
    <x v="178"/>
    <x v="1"/>
    <d v="2024-08-25T00:00:00"/>
    <x v="0"/>
    <n v="5"/>
    <x v="1"/>
    <s v="No"/>
    <x v="1"/>
    <s v="No"/>
    <n v="0"/>
    <x v="1"/>
    <x v="1"/>
  </r>
  <r>
    <n v="3413"/>
    <x v="179"/>
    <x v="0"/>
    <d v="2024-08-26T00:00:00"/>
    <x v="1"/>
    <n v="15"/>
    <x v="2"/>
    <s v="Yes"/>
    <x v="0"/>
    <s v="Yes"/>
    <n v="20"/>
    <x v="7"/>
    <x v="8"/>
  </r>
  <r>
    <n v="3414"/>
    <x v="180"/>
    <x v="2"/>
    <d v="2024-08-27T00:00:00"/>
    <x v="0"/>
    <n v="10"/>
    <x v="2"/>
    <s v="No"/>
    <x v="1"/>
    <s v="Yes"/>
    <n v="20"/>
    <x v="9"/>
    <x v="10"/>
  </r>
  <r>
    <n v="3415"/>
    <x v="181"/>
    <x v="1"/>
    <d v="2024-08-28T00:00:00"/>
    <x v="1"/>
    <n v="5"/>
    <x v="0"/>
    <s v="No"/>
    <x v="1"/>
    <s v="No"/>
    <n v="0"/>
    <x v="5"/>
    <x v="11"/>
  </r>
  <r>
    <n v="3416"/>
    <x v="182"/>
    <x v="0"/>
    <d v="2024-08-29T00:00:00"/>
    <x v="0"/>
    <n v="15"/>
    <x v="1"/>
    <s v="Yes"/>
    <x v="0"/>
    <s v="Yes"/>
    <n v="20"/>
    <x v="0"/>
    <x v="0"/>
  </r>
  <r>
    <n v="3417"/>
    <x v="183"/>
    <x v="2"/>
    <d v="2024-08-30T00:00:00"/>
    <x v="1"/>
    <n v="10"/>
    <x v="0"/>
    <s v="No"/>
    <x v="1"/>
    <s v="Yes"/>
    <n v="20"/>
    <x v="2"/>
    <x v="2"/>
  </r>
  <r>
    <n v="3418"/>
    <x v="184"/>
    <x v="1"/>
    <d v="2024-08-31T00:00:00"/>
    <x v="0"/>
    <n v="5"/>
    <x v="2"/>
    <s v="No"/>
    <x v="1"/>
    <s v="No"/>
    <n v="0"/>
    <x v="1"/>
    <x v="1"/>
  </r>
  <r>
    <n v="3419"/>
    <x v="185"/>
    <x v="0"/>
    <d v="2024-09-01T00:00:00"/>
    <x v="1"/>
    <n v="15"/>
    <x v="0"/>
    <s v="Yes"/>
    <x v="0"/>
    <s v="Yes"/>
    <n v="20"/>
    <x v="3"/>
    <x v="3"/>
  </r>
  <r>
    <n v="3420"/>
    <x v="186"/>
    <x v="2"/>
    <d v="2024-09-02T00:00:00"/>
    <x v="0"/>
    <n v="10"/>
    <x v="1"/>
    <s v="No"/>
    <x v="1"/>
    <s v="Yes"/>
    <n v="20"/>
    <x v="6"/>
    <x v="7"/>
  </r>
  <r>
    <n v="3421"/>
    <x v="15"/>
    <x v="1"/>
    <d v="2024-09-03T00:00:00"/>
    <x v="1"/>
    <n v="5"/>
    <x v="0"/>
    <s v="No"/>
    <x v="1"/>
    <s v="No"/>
    <n v="0"/>
    <x v="4"/>
    <x v="4"/>
  </r>
  <r>
    <n v="3422"/>
    <x v="187"/>
    <x v="0"/>
    <d v="2024-09-04T00:00:00"/>
    <x v="0"/>
    <n v="15"/>
    <x v="2"/>
    <s v="Yes"/>
    <x v="0"/>
    <s v="Yes"/>
    <n v="20"/>
    <x v="10"/>
    <x v="12"/>
  </r>
  <r>
    <n v="3423"/>
    <x v="188"/>
    <x v="2"/>
    <d v="2024-09-05T00:00:00"/>
    <x v="1"/>
    <n v="10"/>
    <x v="0"/>
    <s v="No"/>
    <x v="1"/>
    <s v="Yes"/>
    <n v="20"/>
    <x v="2"/>
    <x v="2"/>
  </r>
  <r>
    <n v="3424"/>
    <x v="14"/>
    <x v="1"/>
    <d v="2024-09-06T00:00:00"/>
    <x v="0"/>
    <n v="5"/>
    <x v="1"/>
    <s v="No"/>
    <x v="1"/>
    <s v="No"/>
    <n v="0"/>
    <x v="1"/>
    <x v="1"/>
  </r>
  <r>
    <n v="3425"/>
    <x v="189"/>
    <x v="0"/>
    <d v="2024-09-07T00:00:00"/>
    <x v="1"/>
    <n v="15"/>
    <x v="0"/>
    <s v="Yes"/>
    <x v="0"/>
    <s v="Yes"/>
    <n v="20"/>
    <x v="7"/>
    <x v="8"/>
  </r>
  <r>
    <n v="3426"/>
    <x v="167"/>
    <x v="2"/>
    <d v="2024-09-08T00:00:00"/>
    <x v="0"/>
    <n v="10"/>
    <x v="2"/>
    <s v="No"/>
    <x v="1"/>
    <s v="Yes"/>
    <n v="20"/>
    <x v="6"/>
    <x v="7"/>
  </r>
  <r>
    <n v="3427"/>
    <x v="190"/>
    <x v="1"/>
    <d v="2024-09-09T00:00:00"/>
    <x v="1"/>
    <n v="5"/>
    <x v="0"/>
    <s v="No"/>
    <x v="1"/>
    <s v="No"/>
    <n v="0"/>
    <x v="4"/>
    <x v="4"/>
  </r>
  <r>
    <n v="3428"/>
    <x v="191"/>
    <x v="0"/>
    <d v="2024-09-10T00:00:00"/>
    <x v="0"/>
    <n v="15"/>
    <x v="1"/>
    <s v="Yes"/>
    <x v="0"/>
    <s v="Yes"/>
    <n v="20"/>
    <x v="3"/>
    <x v="3"/>
  </r>
  <r>
    <n v="3429"/>
    <x v="192"/>
    <x v="2"/>
    <d v="2024-09-11T00:00:00"/>
    <x v="1"/>
    <n v="10"/>
    <x v="0"/>
    <s v="No"/>
    <x v="1"/>
    <s v="Yes"/>
    <n v="20"/>
    <x v="2"/>
    <x v="2"/>
  </r>
  <r>
    <n v="3430"/>
    <x v="193"/>
    <x v="1"/>
    <d v="2024-09-12T00:00:00"/>
    <x v="0"/>
    <n v="5"/>
    <x v="2"/>
    <s v="No"/>
    <x v="1"/>
    <s v="No"/>
    <n v="0"/>
    <x v="1"/>
    <x v="1"/>
  </r>
  <r>
    <n v="3431"/>
    <x v="194"/>
    <x v="0"/>
    <d v="2024-09-13T00:00:00"/>
    <x v="1"/>
    <n v="15"/>
    <x v="0"/>
    <s v="Yes"/>
    <x v="0"/>
    <s v="Yes"/>
    <n v="20"/>
    <x v="6"/>
    <x v="14"/>
  </r>
  <r>
    <n v="3432"/>
    <x v="195"/>
    <x v="2"/>
    <d v="2024-09-14T00:00:00"/>
    <x v="0"/>
    <n v="10"/>
    <x v="1"/>
    <s v="No"/>
    <x v="1"/>
    <s v="Yes"/>
    <n v="20"/>
    <x v="6"/>
    <x v="7"/>
  </r>
  <r>
    <n v="3433"/>
    <x v="196"/>
    <x v="1"/>
    <d v="2024-09-15T00:00:00"/>
    <x v="1"/>
    <n v="5"/>
    <x v="0"/>
    <s v="No"/>
    <x v="1"/>
    <s v="No"/>
    <n v="0"/>
    <x v="4"/>
    <x v="4"/>
  </r>
  <r>
    <n v="3434"/>
    <x v="197"/>
    <x v="0"/>
    <d v="2024-09-16T00:00:00"/>
    <x v="0"/>
    <n v="15"/>
    <x v="2"/>
    <s v="Yes"/>
    <x v="0"/>
    <s v="Yes"/>
    <n v="20"/>
    <x v="10"/>
    <x v="12"/>
  </r>
  <r>
    <n v="3435"/>
    <x v="198"/>
    <x v="2"/>
    <d v="2024-09-17T00:00:00"/>
    <x v="1"/>
    <n v="10"/>
    <x v="0"/>
    <s v="No"/>
    <x v="1"/>
    <s v="Yes"/>
    <n v="20"/>
    <x v="2"/>
    <x v="2"/>
  </r>
  <r>
    <n v="3436"/>
    <x v="199"/>
    <x v="1"/>
    <d v="2024-09-18T00:00:00"/>
    <x v="0"/>
    <n v="5"/>
    <x v="0"/>
    <s v="No"/>
    <x v="1"/>
    <s v="No"/>
    <n v="0"/>
    <x v="1"/>
    <x v="1"/>
  </r>
  <r>
    <n v="3437"/>
    <x v="200"/>
    <x v="0"/>
    <d v="2024-09-19T00:00:00"/>
    <x v="1"/>
    <n v="15"/>
    <x v="2"/>
    <s v="Yes"/>
    <x v="0"/>
    <s v="Yes"/>
    <n v="20"/>
    <x v="10"/>
    <x v="12"/>
  </r>
  <r>
    <n v="3438"/>
    <x v="201"/>
    <x v="2"/>
    <d v="2024-09-20T00:00:00"/>
    <x v="0"/>
    <n v="10"/>
    <x v="1"/>
    <s v="No"/>
    <x v="1"/>
    <s v="Yes"/>
    <n v="20"/>
    <x v="2"/>
    <x v="2"/>
  </r>
  <r>
    <n v="3439"/>
    <x v="202"/>
    <x v="1"/>
    <d v="2024-09-21T00:00:00"/>
    <x v="1"/>
    <n v="5"/>
    <x v="2"/>
    <s v="No"/>
    <x v="1"/>
    <s v="No"/>
    <n v="0"/>
    <x v="4"/>
    <x v="4"/>
  </r>
  <r>
    <n v="3440"/>
    <x v="203"/>
    <x v="0"/>
    <d v="2024-09-22T00:00:00"/>
    <x v="0"/>
    <n v="15"/>
    <x v="0"/>
    <s v="Yes"/>
    <x v="0"/>
    <s v="Yes"/>
    <n v="20"/>
    <x v="6"/>
    <x v="14"/>
  </r>
  <r>
    <n v="3441"/>
    <x v="204"/>
    <x v="2"/>
    <d v="2024-09-23T00:00:00"/>
    <x v="1"/>
    <n v="10"/>
    <x v="0"/>
    <s v="No"/>
    <x v="1"/>
    <s v="Yes"/>
    <n v="20"/>
    <x v="0"/>
    <x v="13"/>
  </r>
  <r>
    <n v="3442"/>
    <x v="205"/>
    <x v="1"/>
    <d v="2024-09-24T00:00:00"/>
    <x v="0"/>
    <n v="5"/>
    <x v="1"/>
    <s v="No"/>
    <x v="1"/>
    <s v="No"/>
    <n v="0"/>
    <x v="1"/>
    <x v="1"/>
  </r>
  <r>
    <n v="3443"/>
    <x v="206"/>
    <x v="0"/>
    <d v="2024-09-25T00:00:00"/>
    <x v="1"/>
    <n v="15"/>
    <x v="2"/>
    <s v="Yes"/>
    <x v="0"/>
    <s v="Yes"/>
    <n v="20"/>
    <x v="7"/>
    <x v="8"/>
  </r>
  <r>
    <n v="3444"/>
    <x v="207"/>
    <x v="2"/>
    <d v="2024-09-26T00:00:00"/>
    <x v="0"/>
    <n v="10"/>
    <x v="2"/>
    <s v="No"/>
    <x v="1"/>
    <s v="Yes"/>
    <n v="20"/>
    <x v="9"/>
    <x v="10"/>
  </r>
  <r>
    <n v="3445"/>
    <x v="37"/>
    <x v="1"/>
    <d v="2024-09-27T00:00:00"/>
    <x v="1"/>
    <n v="5"/>
    <x v="0"/>
    <s v="No"/>
    <x v="1"/>
    <s v="No"/>
    <n v="0"/>
    <x v="5"/>
    <x v="11"/>
  </r>
  <r>
    <n v="3446"/>
    <x v="208"/>
    <x v="0"/>
    <d v="2024-09-28T00:00:00"/>
    <x v="0"/>
    <n v="15"/>
    <x v="1"/>
    <s v="Yes"/>
    <x v="0"/>
    <s v="Yes"/>
    <n v="20"/>
    <x v="0"/>
    <x v="0"/>
  </r>
  <r>
    <n v="3447"/>
    <x v="209"/>
    <x v="2"/>
    <d v="2024-09-29T00:00:00"/>
    <x v="1"/>
    <n v="10"/>
    <x v="0"/>
    <s v="No"/>
    <x v="1"/>
    <s v="Yes"/>
    <n v="20"/>
    <x v="2"/>
    <x v="2"/>
  </r>
  <r>
    <n v="3448"/>
    <x v="210"/>
    <x v="1"/>
    <d v="2024-09-30T00:00:00"/>
    <x v="0"/>
    <n v="5"/>
    <x v="2"/>
    <s v="No"/>
    <x v="1"/>
    <s v="No"/>
    <n v="0"/>
    <x v="1"/>
    <x v="1"/>
  </r>
  <r>
    <n v="3449"/>
    <x v="211"/>
    <x v="0"/>
    <d v="2024-10-01T00:00:00"/>
    <x v="1"/>
    <n v="15"/>
    <x v="0"/>
    <s v="Yes"/>
    <x v="0"/>
    <s v="Yes"/>
    <n v="20"/>
    <x v="3"/>
    <x v="3"/>
  </r>
  <r>
    <n v="3450"/>
    <x v="212"/>
    <x v="2"/>
    <d v="2024-10-02T00:00:00"/>
    <x v="0"/>
    <n v="10"/>
    <x v="1"/>
    <s v="No"/>
    <x v="1"/>
    <s v="Yes"/>
    <n v="20"/>
    <x v="6"/>
    <x v="7"/>
  </r>
  <r>
    <n v="3451"/>
    <x v="213"/>
    <x v="1"/>
    <d v="2024-10-03T00:00:00"/>
    <x v="1"/>
    <n v="5"/>
    <x v="0"/>
    <s v="No"/>
    <x v="1"/>
    <s v="No"/>
    <n v="0"/>
    <x v="4"/>
    <x v="4"/>
  </r>
  <r>
    <n v="3452"/>
    <x v="191"/>
    <x v="0"/>
    <d v="2024-10-04T00:00:00"/>
    <x v="0"/>
    <n v="15"/>
    <x v="2"/>
    <s v="Yes"/>
    <x v="0"/>
    <s v="Yes"/>
    <n v="20"/>
    <x v="10"/>
    <x v="12"/>
  </r>
  <r>
    <n v="3453"/>
    <x v="45"/>
    <x v="2"/>
    <d v="2024-10-05T00:00:00"/>
    <x v="1"/>
    <n v="10"/>
    <x v="0"/>
    <s v="No"/>
    <x v="1"/>
    <s v="Yes"/>
    <n v="20"/>
    <x v="2"/>
    <x v="2"/>
  </r>
  <r>
    <n v="3454"/>
    <x v="214"/>
    <x v="1"/>
    <d v="2024-10-06T00:00:00"/>
    <x v="0"/>
    <n v="5"/>
    <x v="1"/>
    <s v="No"/>
    <x v="1"/>
    <s v="No"/>
    <n v="0"/>
    <x v="1"/>
    <x v="1"/>
  </r>
  <r>
    <n v="3455"/>
    <x v="215"/>
    <x v="0"/>
    <d v="2024-10-07T00:00:00"/>
    <x v="1"/>
    <n v="15"/>
    <x v="0"/>
    <s v="Yes"/>
    <x v="0"/>
    <s v="Yes"/>
    <n v="20"/>
    <x v="7"/>
    <x v="8"/>
  </r>
  <r>
    <n v="3456"/>
    <x v="216"/>
    <x v="2"/>
    <d v="2024-10-08T00:00:00"/>
    <x v="0"/>
    <n v="10"/>
    <x v="2"/>
    <s v="No"/>
    <x v="1"/>
    <s v="Yes"/>
    <n v="20"/>
    <x v="6"/>
    <x v="7"/>
  </r>
  <r>
    <n v="3457"/>
    <x v="217"/>
    <x v="1"/>
    <d v="2024-10-09T00:00:00"/>
    <x v="1"/>
    <n v="5"/>
    <x v="0"/>
    <s v="No"/>
    <x v="1"/>
    <s v="No"/>
    <n v="0"/>
    <x v="4"/>
    <x v="4"/>
  </r>
  <r>
    <n v="3458"/>
    <x v="218"/>
    <x v="0"/>
    <d v="2024-10-10T00:00:00"/>
    <x v="0"/>
    <n v="15"/>
    <x v="1"/>
    <s v="Yes"/>
    <x v="0"/>
    <s v="Yes"/>
    <n v="20"/>
    <x v="3"/>
    <x v="3"/>
  </r>
  <r>
    <n v="3459"/>
    <x v="219"/>
    <x v="2"/>
    <d v="2024-10-11T00:00:00"/>
    <x v="1"/>
    <n v="10"/>
    <x v="0"/>
    <s v="No"/>
    <x v="1"/>
    <s v="Yes"/>
    <n v="20"/>
    <x v="2"/>
    <x v="2"/>
  </r>
  <r>
    <n v="3460"/>
    <x v="127"/>
    <x v="1"/>
    <d v="2024-10-12T00:00:00"/>
    <x v="0"/>
    <n v="5"/>
    <x v="2"/>
    <s v="No"/>
    <x v="1"/>
    <s v="No"/>
    <n v="0"/>
    <x v="1"/>
    <x v="1"/>
  </r>
  <r>
    <n v="3461"/>
    <x v="220"/>
    <x v="0"/>
    <d v="2024-10-13T00:00:00"/>
    <x v="1"/>
    <n v="15"/>
    <x v="0"/>
    <s v="Yes"/>
    <x v="0"/>
    <s v="Yes"/>
    <n v="20"/>
    <x v="6"/>
    <x v="14"/>
  </r>
  <r>
    <n v="3462"/>
    <x v="221"/>
    <x v="2"/>
    <d v="2024-10-14T00:00:00"/>
    <x v="0"/>
    <n v="10"/>
    <x v="1"/>
    <s v="No"/>
    <x v="1"/>
    <s v="Yes"/>
    <n v="20"/>
    <x v="6"/>
    <x v="7"/>
  </r>
  <r>
    <n v="3463"/>
    <x v="222"/>
    <x v="1"/>
    <d v="2024-10-15T00:00:00"/>
    <x v="1"/>
    <n v="5"/>
    <x v="0"/>
    <s v="No"/>
    <x v="1"/>
    <s v="No"/>
    <n v="0"/>
    <x v="4"/>
    <x v="4"/>
  </r>
  <r>
    <n v="3464"/>
    <x v="223"/>
    <x v="0"/>
    <d v="2024-10-16T00:00:00"/>
    <x v="0"/>
    <n v="15"/>
    <x v="2"/>
    <s v="Yes"/>
    <x v="0"/>
    <s v="Yes"/>
    <n v="20"/>
    <x v="10"/>
    <x v="12"/>
  </r>
  <r>
    <n v="3465"/>
    <x v="224"/>
    <x v="2"/>
    <d v="2024-10-17T00:00:00"/>
    <x v="1"/>
    <n v="10"/>
    <x v="0"/>
    <s v="No"/>
    <x v="1"/>
    <s v="Yes"/>
    <n v="20"/>
    <x v="2"/>
    <x v="2"/>
  </r>
  <r>
    <n v="3466"/>
    <x v="225"/>
    <x v="1"/>
    <d v="2024-10-18T00:00:00"/>
    <x v="0"/>
    <n v="5"/>
    <x v="1"/>
    <s v="No"/>
    <x v="1"/>
    <s v="No"/>
    <n v="0"/>
    <x v="1"/>
    <x v="1"/>
  </r>
  <r>
    <n v="3467"/>
    <x v="226"/>
    <x v="0"/>
    <d v="2024-10-19T00:00:00"/>
    <x v="1"/>
    <n v="15"/>
    <x v="0"/>
    <s v="Yes"/>
    <x v="0"/>
    <s v="Yes"/>
    <n v="20"/>
    <x v="6"/>
    <x v="14"/>
  </r>
  <r>
    <n v="3468"/>
    <x v="227"/>
    <x v="2"/>
    <d v="2024-10-20T00:00:00"/>
    <x v="0"/>
    <n v="10"/>
    <x v="2"/>
    <s v="No"/>
    <x v="1"/>
    <s v="Yes"/>
    <n v="20"/>
    <x v="9"/>
    <x v="10"/>
  </r>
  <r>
    <n v="3469"/>
    <x v="228"/>
    <x v="1"/>
    <d v="2024-10-21T00:00:00"/>
    <x v="1"/>
    <n v="5"/>
    <x v="0"/>
    <s v="No"/>
    <x v="1"/>
    <s v="No"/>
    <n v="0"/>
    <x v="5"/>
    <x v="11"/>
  </r>
  <r>
    <n v="3470"/>
    <x v="229"/>
    <x v="0"/>
    <d v="2024-10-22T00:00:00"/>
    <x v="0"/>
    <n v="15"/>
    <x v="1"/>
    <s v="Yes"/>
    <x v="0"/>
    <s v="Yes"/>
    <n v="20"/>
    <x v="0"/>
    <x v="0"/>
  </r>
  <r>
    <n v="3471"/>
    <x v="230"/>
    <x v="2"/>
    <d v="2024-10-23T00:00:00"/>
    <x v="1"/>
    <n v="10"/>
    <x v="0"/>
    <s v="No"/>
    <x v="1"/>
    <s v="Yes"/>
    <n v="20"/>
    <x v="2"/>
    <x v="2"/>
  </r>
  <r>
    <n v="3472"/>
    <x v="231"/>
    <x v="1"/>
    <d v="2024-10-24T00:00:00"/>
    <x v="0"/>
    <n v="5"/>
    <x v="2"/>
    <s v="No"/>
    <x v="1"/>
    <s v="No"/>
    <n v="0"/>
    <x v="1"/>
    <x v="1"/>
  </r>
  <r>
    <n v="3473"/>
    <x v="140"/>
    <x v="0"/>
    <d v="2024-10-25T00:00:00"/>
    <x v="1"/>
    <n v="15"/>
    <x v="0"/>
    <s v="Yes"/>
    <x v="0"/>
    <s v="Yes"/>
    <n v="20"/>
    <x v="3"/>
    <x v="3"/>
  </r>
  <r>
    <n v="3474"/>
    <x v="232"/>
    <x v="2"/>
    <d v="2024-10-26T00:00:00"/>
    <x v="0"/>
    <n v="10"/>
    <x v="1"/>
    <s v="No"/>
    <x v="1"/>
    <s v="Yes"/>
    <n v="20"/>
    <x v="6"/>
    <x v="7"/>
  </r>
  <r>
    <n v="3475"/>
    <x v="233"/>
    <x v="1"/>
    <d v="2024-10-27T00:00:00"/>
    <x v="1"/>
    <n v="5"/>
    <x v="0"/>
    <s v="No"/>
    <x v="1"/>
    <s v="No"/>
    <n v="0"/>
    <x v="4"/>
    <x v="4"/>
  </r>
  <r>
    <n v="3476"/>
    <x v="234"/>
    <x v="0"/>
    <d v="2024-10-28T00:00:00"/>
    <x v="0"/>
    <n v="15"/>
    <x v="2"/>
    <s v="Yes"/>
    <x v="0"/>
    <s v="Yes"/>
    <n v="20"/>
    <x v="10"/>
    <x v="12"/>
  </r>
  <r>
    <n v="3477"/>
    <x v="235"/>
    <x v="2"/>
    <d v="2024-10-29T00:00:00"/>
    <x v="1"/>
    <n v="10"/>
    <x v="0"/>
    <s v="No"/>
    <x v="1"/>
    <s v="Yes"/>
    <n v="20"/>
    <x v="2"/>
    <x v="2"/>
  </r>
  <r>
    <n v="3478"/>
    <x v="236"/>
    <x v="1"/>
    <d v="2024-10-30T00:00:00"/>
    <x v="0"/>
    <n v="5"/>
    <x v="1"/>
    <s v="No"/>
    <x v="1"/>
    <s v="No"/>
    <n v="0"/>
    <x v="1"/>
    <x v="1"/>
  </r>
  <r>
    <n v="3479"/>
    <x v="237"/>
    <x v="0"/>
    <d v="2024-10-31T00:00:00"/>
    <x v="1"/>
    <n v="15"/>
    <x v="0"/>
    <s v="Yes"/>
    <x v="0"/>
    <s v="Yes"/>
    <n v="20"/>
    <x v="7"/>
    <x v="8"/>
  </r>
  <r>
    <n v="3480"/>
    <x v="238"/>
    <x v="2"/>
    <d v="2024-11-01T00:00:00"/>
    <x v="0"/>
    <n v="10"/>
    <x v="2"/>
    <s v="No"/>
    <x v="1"/>
    <s v="Yes"/>
    <n v="20"/>
    <x v="6"/>
    <x v="7"/>
  </r>
  <r>
    <n v="3481"/>
    <x v="239"/>
    <x v="1"/>
    <d v="2024-11-02T00:00:00"/>
    <x v="1"/>
    <n v="5"/>
    <x v="0"/>
    <s v="No"/>
    <x v="1"/>
    <s v="No"/>
    <n v="0"/>
    <x v="4"/>
    <x v="4"/>
  </r>
  <r>
    <n v="3482"/>
    <x v="240"/>
    <x v="0"/>
    <d v="2024-11-03T00:00:00"/>
    <x v="0"/>
    <n v="15"/>
    <x v="1"/>
    <s v="Yes"/>
    <x v="0"/>
    <s v="Yes"/>
    <n v="20"/>
    <x v="3"/>
    <x v="3"/>
  </r>
  <r>
    <n v="3483"/>
    <x v="241"/>
    <x v="2"/>
    <d v="2024-11-04T00:00:00"/>
    <x v="1"/>
    <n v="10"/>
    <x v="0"/>
    <s v="No"/>
    <x v="1"/>
    <s v="Yes"/>
    <n v="20"/>
    <x v="2"/>
    <x v="2"/>
  </r>
  <r>
    <n v="3484"/>
    <x v="242"/>
    <x v="1"/>
    <d v="2024-11-05T00:00:00"/>
    <x v="0"/>
    <n v="5"/>
    <x v="2"/>
    <s v="No"/>
    <x v="1"/>
    <s v="No"/>
    <n v="0"/>
    <x v="1"/>
    <x v="1"/>
  </r>
  <r>
    <n v="3485"/>
    <x v="243"/>
    <x v="0"/>
    <d v="2024-11-06T00:00:00"/>
    <x v="1"/>
    <n v="15"/>
    <x v="0"/>
    <s v="Yes"/>
    <x v="0"/>
    <s v="Yes"/>
    <n v="20"/>
    <x v="6"/>
    <x v="14"/>
  </r>
  <r>
    <n v="3486"/>
    <x v="244"/>
    <x v="1"/>
    <d v="2024-11-07T00:00:00"/>
    <x v="0"/>
    <n v="5"/>
    <x v="0"/>
    <s v="No"/>
    <x v="1"/>
    <s v="No"/>
    <n v="0"/>
    <x v="1"/>
    <x v="1"/>
  </r>
  <r>
    <n v="3487"/>
    <x v="245"/>
    <x v="0"/>
    <d v="2024-11-08T00:00:00"/>
    <x v="1"/>
    <n v="15"/>
    <x v="2"/>
    <s v="Yes"/>
    <x v="0"/>
    <s v="Yes"/>
    <n v="20"/>
    <x v="10"/>
    <x v="12"/>
  </r>
  <r>
    <n v="3488"/>
    <x v="246"/>
    <x v="2"/>
    <d v="2024-11-09T00:00:00"/>
    <x v="0"/>
    <n v="10"/>
    <x v="1"/>
    <s v="No"/>
    <x v="1"/>
    <s v="Yes"/>
    <n v="20"/>
    <x v="2"/>
    <x v="2"/>
  </r>
  <r>
    <n v="3489"/>
    <x v="247"/>
    <x v="1"/>
    <d v="2024-11-10T00:00:00"/>
    <x v="1"/>
    <n v="5"/>
    <x v="2"/>
    <s v="No"/>
    <x v="1"/>
    <s v="No"/>
    <n v="0"/>
    <x v="4"/>
    <x v="4"/>
  </r>
  <r>
    <n v="3490"/>
    <x v="248"/>
    <x v="0"/>
    <d v="2024-11-11T00:00:00"/>
    <x v="0"/>
    <n v="15"/>
    <x v="0"/>
    <s v="Yes"/>
    <x v="0"/>
    <s v="Yes"/>
    <n v="20"/>
    <x v="6"/>
    <x v="14"/>
  </r>
  <r>
    <n v="3491"/>
    <x v="249"/>
    <x v="2"/>
    <d v="2024-11-12T00:00:00"/>
    <x v="1"/>
    <n v="10"/>
    <x v="0"/>
    <s v="No"/>
    <x v="1"/>
    <s v="Yes"/>
    <n v="20"/>
    <x v="0"/>
    <x v="13"/>
  </r>
  <r>
    <n v="3492"/>
    <x v="250"/>
    <x v="1"/>
    <d v="2024-11-13T00:00:00"/>
    <x v="0"/>
    <n v="5"/>
    <x v="1"/>
    <s v="No"/>
    <x v="1"/>
    <s v="No"/>
    <n v="0"/>
    <x v="1"/>
    <x v="1"/>
  </r>
  <r>
    <n v="3493"/>
    <x v="251"/>
    <x v="0"/>
    <d v="2024-11-14T00:00:00"/>
    <x v="1"/>
    <n v="15"/>
    <x v="2"/>
    <s v="Yes"/>
    <x v="0"/>
    <s v="Yes"/>
    <n v="20"/>
    <x v="7"/>
    <x v="8"/>
  </r>
  <r>
    <n v="3494"/>
    <x v="252"/>
    <x v="2"/>
    <d v="2024-11-15T00:00:00"/>
    <x v="0"/>
    <n v="10"/>
    <x v="2"/>
    <s v="No"/>
    <x v="1"/>
    <s v="Yes"/>
    <n v="20"/>
    <x v="9"/>
    <x v="10"/>
  </r>
  <r>
    <n v="3495"/>
    <x v="253"/>
    <x v="1"/>
    <d v="2024-11-16T00:00:00"/>
    <x v="1"/>
    <n v="5"/>
    <x v="0"/>
    <s v="No"/>
    <x v="1"/>
    <s v="No"/>
    <n v="0"/>
    <x v="5"/>
    <x v="11"/>
  </r>
  <r>
    <n v="3496"/>
    <x v="254"/>
    <x v="0"/>
    <d v="2024-11-17T00:00:00"/>
    <x v="0"/>
    <n v="15"/>
    <x v="1"/>
    <s v="Yes"/>
    <x v="0"/>
    <s v="Yes"/>
    <n v="20"/>
    <x v="0"/>
    <x v="0"/>
  </r>
  <r>
    <n v="3497"/>
    <x v="255"/>
    <x v="2"/>
    <d v="2024-11-18T00:00:00"/>
    <x v="1"/>
    <n v="10"/>
    <x v="0"/>
    <s v="No"/>
    <x v="1"/>
    <s v="Yes"/>
    <n v="20"/>
    <x v="2"/>
    <x v="2"/>
  </r>
  <r>
    <n v="3498"/>
    <x v="256"/>
    <x v="1"/>
    <d v="2024-11-19T00:00:00"/>
    <x v="0"/>
    <n v="5"/>
    <x v="2"/>
    <s v="No"/>
    <x v="1"/>
    <s v="No"/>
    <n v="0"/>
    <x v="1"/>
    <x v="1"/>
  </r>
  <r>
    <n v="3499"/>
    <x v="257"/>
    <x v="0"/>
    <d v="2024-11-20T00:00:00"/>
    <x v="1"/>
    <n v="15"/>
    <x v="0"/>
    <s v="Yes"/>
    <x v="0"/>
    <s v="Yes"/>
    <n v="20"/>
    <x v="3"/>
    <x v="3"/>
  </r>
  <r>
    <n v="3500"/>
    <x v="258"/>
    <x v="2"/>
    <d v="2024-11-21T00:00:00"/>
    <x v="0"/>
    <n v="10"/>
    <x v="1"/>
    <s v="No"/>
    <x v="1"/>
    <s v="Yes"/>
    <n v="20"/>
    <x v="6"/>
    <x v="7"/>
  </r>
  <r>
    <n v="3501"/>
    <x v="259"/>
    <x v="1"/>
    <d v="2024-11-22T00:00:00"/>
    <x v="1"/>
    <n v="5"/>
    <x v="0"/>
    <s v="No"/>
    <x v="1"/>
    <s v="No"/>
    <n v="0"/>
    <x v="4"/>
    <x v="4"/>
  </r>
  <r>
    <n v="3502"/>
    <x v="260"/>
    <x v="0"/>
    <d v="2024-11-23T00:00:00"/>
    <x v="0"/>
    <n v="15"/>
    <x v="2"/>
    <s v="Yes"/>
    <x v="0"/>
    <s v="Yes"/>
    <n v="20"/>
    <x v="10"/>
    <x v="12"/>
  </r>
  <r>
    <n v="3503"/>
    <x v="119"/>
    <x v="2"/>
    <d v="2024-11-24T00:00:00"/>
    <x v="1"/>
    <n v="10"/>
    <x v="0"/>
    <s v="No"/>
    <x v="1"/>
    <s v="Yes"/>
    <n v="20"/>
    <x v="2"/>
    <x v="2"/>
  </r>
  <r>
    <n v="3504"/>
    <x v="261"/>
    <x v="1"/>
    <d v="2024-11-25T00:00:00"/>
    <x v="0"/>
    <n v="5"/>
    <x v="1"/>
    <s v="No"/>
    <x v="1"/>
    <s v="No"/>
    <n v="0"/>
    <x v="1"/>
    <x v="1"/>
  </r>
  <r>
    <n v="3505"/>
    <x v="262"/>
    <x v="0"/>
    <d v="2024-11-26T00:00:00"/>
    <x v="1"/>
    <n v="15"/>
    <x v="0"/>
    <s v="Yes"/>
    <x v="0"/>
    <s v="Yes"/>
    <n v="20"/>
    <x v="7"/>
    <x v="8"/>
  </r>
  <r>
    <n v="3506"/>
    <x v="263"/>
    <x v="2"/>
    <d v="2024-11-27T00:00:00"/>
    <x v="0"/>
    <n v="10"/>
    <x v="2"/>
    <s v="No"/>
    <x v="1"/>
    <s v="Yes"/>
    <n v="20"/>
    <x v="6"/>
    <x v="7"/>
  </r>
  <r>
    <n v="3507"/>
    <x v="264"/>
    <x v="1"/>
    <d v="2024-11-28T00:00:00"/>
    <x v="1"/>
    <n v="5"/>
    <x v="0"/>
    <s v="No"/>
    <x v="1"/>
    <s v="No"/>
    <n v="0"/>
    <x v="4"/>
    <x v="4"/>
  </r>
  <r>
    <n v="3508"/>
    <x v="265"/>
    <x v="0"/>
    <d v="2024-11-29T00:00:00"/>
    <x v="0"/>
    <n v="15"/>
    <x v="1"/>
    <s v="Yes"/>
    <x v="0"/>
    <s v="Yes"/>
    <n v="20"/>
    <x v="3"/>
    <x v="3"/>
  </r>
  <r>
    <n v="3509"/>
    <x v="266"/>
    <x v="2"/>
    <d v="2024-11-30T00:00:00"/>
    <x v="1"/>
    <n v="10"/>
    <x v="0"/>
    <s v="No"/>
    <x v="1"/>
    <s v="Yes"/>
    <n v="20"/>
    <x v="2"/>
    <x v="2"/>
  </r>
  <r>
    <n v="3510"/>
    <x v="267"/>
    <x v="1"/>
    <d v="2024-12-01T00:00:00"/>
    <x v="0"/>
    <n v="5"/>
    <x v="2"/>
    <s v="No"/>
    <x v="1"/>
    <s v="No"/>
    <n v="0"/>
    <x v="1"/>
    <x v="1"/>
  </r>
  <r>
    <n v="3511"/>
    <x v="268"/>
    <x v="0"/>
    <d v="2024-12-02T00:00:00"/>
    <x v="1"/>
    <n v="15"/>
    <x v="0"/>
    <s v="Yes"/>
    <x v="0"/>
    <s v="Yes"/>
    <n v="20"/>
    <x v="6"/>
    <x v="14"/>
  </r>
  <r>
    <n v="3512"/>
    <x v="269"/>
    <x v="2"/>
    <d v="2024-12-03T00:00:00"/>
    <x v="0"/>
    <n v="10"/>
    <x v="1"/>
    <s v="No"/>
    <x v="1"/>
    <s v="Yes"/>
    <n v="20"/>
    <x v="6"/>
    <x v="7"/>
  </r>
  <r>
    <n v="3513"/>
    <x v="270"/>
    <x v="1"/>
    <d v="2024-12-04T00:00:00"/>
    <x v="1"/>
    <n v="5"/>
    <x v="0"/>
    <s v="No"/>
    <x v="1"/>
    <s v="No"/>
    <n v="0"/>
    <x v="4"/>
    <x v="4"/>
  </r>
  <r>
    <n v="3514"/>
    <x v="271"/>
    <x v="0"/>
    <d v="2024-12-05T00:00:00"/>
    <x v="0"/>
    <n v="15"/>
    <x v="2"/>
    <s v="Yes"/>
    <x v="0"/>
    <s v="Yes"/>
    <n v="20"/>
    <x v="10"/>
    <x v="12"/>
  </r>
  <r>
    <n v="3515"/>
    <x v="130"/>
    <x v="2"/>
    <d v="2024-12-06T00:00:00"/>
    <x v="1"/>
    <n v="10"/>
    <x v="0"/>
    <s v="No"/>
    <x v="1"/>
    <s v="Yes"/>
    <n v="20"/>
    <x v="2"/>
    <x v="2"/>
  </r>
  <r>
    <n v="3516"/>
    <x v="131"/>
    <x v="1"/>
    <d v="2024-12-07T00:00:00"/>
    <x v="0"/>
    <n v="5"/>
    <x v="1"/>
    <s v="No"/>
    <x v="1"/>
    <s v="No"/>
    <n v="0"/>
    <x v="1"/>
    <x v="1"/>
  </r>
  <r>
    <n v="3517"/>
    <x v="181"/>
    <x v="0"/>
    <d v="2024-12-08T00:00:00"/>
    <x v="1"/>
    <n v="15"/>
    <x v="0"/>
    <s v="Yes"/>
    <x v="0"/>
    <s v="Yes"/>
    <n v="20"/>
    <x v="7"/>
    <x v="8"/>
  </r>
  <r>
    <n v="3518"/>
    <x v="272"/>
    <x v="2"/>
    <d v="2024-12-09T00:00:00"/>
    <x v="0"/>
    <n v="10"/>
    <x v="2"/>
    <s v="No"/>
    <x v="1"/>
    <s v="Yes"/>
    <n v="20"/>
    <x v="9"/>
    <x v="10"/>
  </r>
  <r>
    <n v="3519"/>
    <x v="273"/>
    <x v="1"/>
    <d v="2024-12-10T00:00:00"/>
    <x v="1"/>
    <n v="5"/>
    <x v="0"/>
    <s v="No"/>
    <x v="1"/>
    <s v="No"/>
    <n v="0"/>
    <x v="5"/>
    <x v="11"/>
  </r>
  <r>
    <n v="3520"/>
    <x v="274"/>
    <x v="0"/>
    <d v="2024-12-11T00:00:00"/>
    <x v="0"/>
    <n v="15"/>
    <x v="1"/>
    <s v="Yes"/>
    <x v="0"/>
    <s v="Yes"/>
    <n v="20"/>
    <x v="0"/>
    <x v="0"/>
  </r>
  <r>
    <n v="3521"/>
    <x v="275"/>
    <x v="2"/>
    <d v="2024-12-12T00:00:00"/>
    <x v="1"/>
    <n v="10"/>
    <x v="0"/>
    <s v="No"/>
    <x v="1"/>
    <s v="Yes"/>
    <n v="20"/>
    <x v="2"/>
    <x v="2"/>
  </r>
  <r>
    <n v="3522"/>
    <x v="276"/>
    <x v="1"/>
    <d v="2024-12-13T00:00:00"/>
    <x v="0"/>
    <n v="5"/>
    <x v="2"/>
    <s v="No"/>
    <x v="1"/>
    <s v="No"/>
    <n v="0"/>
    <x v="1"/>
    <x v="1"/>
  </r>
  <r>
    <n v="3523"/>
    <x v="277"/>
    <x v="0"/>
    <d v="2024-12-14T00:00:00"/>
    <x v="1"/>
    <n v="15"/>
    <x v="0"/>
    <s v="Yes"/>
    <x v="0"/>
    <s v="Yes"/>
    <n v="20"/>
    <x v="3"/>
    <x v="3"/>
  </r>
  <r>
    <n v="3524"/>
    <x v="278"/>
    <x v="2"/>
    <d v="2024-12-15T00:00:00"/>
    <x v="0"/>
    <n v="10"/>
    <x v="1"/>
    <s v="No"/>
    <x v="1"/>
    <s v="Yes"/>
    <n v="20"/>
    <x v="6"/>
    <x v="7"/>
  </r>
  <r>
    <n v="3525"/>
    <x v="279"/>
    <x v="1"/>
    <d v="2024-12-16T00:00:00"/>
    <x v="1"/>
    <n v="5"/>
    <x v="0"/>
    <s v="No"/>
    <x v="1"/>
    <s v="No"/>
    <n v="0"/>
    <x v="4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1B90C6-7F0F-41B6-AE1F-6541420DA31D}" name="Tabela dinâmica3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25:C29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164" showAll="0"/>
    <pivotField numFmtId="16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344D36-6299-4D0E-B3A1-020905DC6853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16:C20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164" showAll="0"/>
    <pivotField numFmtId="16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362EE0-FFE5-4638-8FD3-8E48F709108F}" name="tbl_a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4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16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164" showAll="0"/>
    <pivotField numFmtId="164" showAll="0">
      <items count="12">
        <item x="1"/>
        <item x="4"/>
        <item x="5"/>
        <item x="3"/>
        <item x="0"/>
        <item x="10"/>
        <item x="8"/>
        <item x="2"/>
        <item x="9"/>
        <item x="6"/>
        <item x="7"/>
        <item t="default"/>
      </items>
    </pivotField>
    <pivotField dataField="1" numFmtId="164" showAll="0">
      <items count="16">
        <item x="11"/>
        <item x="4"/>
        <item x="1"/>
        <item x="7"/>
        <item x="10"/>
        <item x="2"/>
        <item x="13"/>
        <item x="5"/>
        <item x="8"/>
        <item x="14"/>
        <item x="6"/>
        <item x="9"/>
        <item x="12"/>
        <item x="0"/>
        <item x="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164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303D90D-8962-45A3-9581-2C2CAC7BF353}" sourceName="Subscription Type">
  <pivotTables>
    <pivotTable tabId="3" name="tbl_anual_total"/>
    <pivotTable tabId="3" name="tbl_easeasonpass_total"/>
    <pivotTable tabId="3" name="Tabela dinâmica3"/>
  </pivotTables>
  <data>
    <tabular pivotCacheId="1155104672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711A7013-EAE8-4908-813F-ADAC2E8C2161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5"/>
    <tableColumn id="2" xr3:uid="{53DD39D0-2220-4121-9E9D-4EAA7E151C0F}" name="Name" dataDxfId="14"/>
    <tableColumn id="3" xr3:uid="{4F5FF271-4C57-4BE0-8F2C-F82C8551625C}" name="Plan" dataDxfId="13"/>
    <tableColumn id="4" xr3:uid="{8C17EB93-79B9-4E55-B8F7-BEB82F8253E9}" name="Start Date" dataDxfId="12"/>
    <tableColumn id="5" xr3:uid="{48CEDF9B-1689-482A-A828-5CCE7713264A}" name="Auto Renewal" dataDxfId="11"/>
    <tableColumn id="6" xr3:uid="{78B82374-9AA7-4E38-AE4F-78CDE6C83720}" name="Subscription Price" dataDxfId="10" dataCellStyle="Moeda"/>
    <tableColumn id="7" xr3:uid="{F2433F68-AF33-49D0-B1FB-19A396074EDE}" name="Subscription Type" dataDxfId="9"/>
    <tableColumn id="8" xr3:uid="{FD4D9C95-F6E5-4933-9068-A71FF7DF9343}" name="EA Play Season Pass" dataDxfId="8"/>
    <tableColumn id="13" xr3:uid="{978DD0D2-834E-4CE4-A39B-30976086932F}" name="EA Play Season Pass_x000a_Price" dataDxfId="7" dataCellStyle="Moeda"/>
    <tableColumn id="9" xr3:uid="{6E29F111-C395-4580-9DAD-3407D9E8B1A4}" name="Minecraft Season Pass" dataDxfId="6"/>
    <tableColumn id="10" xr3:uid="{EF544EAA-7F25-4FD5-A10E-8E62804DB9E3}" name="Minecraft Season Pass Price" dataDxfId="5" dataCellStyle="Moeda"/>
    <tableColumn id="11" xr3:uid="{7F6EB64A-1F07-4E48-9F0F-AC7D9DCD26F8}" name="Coupon Value" dataDxfId="4" dataCellStyle="Moeda"/>
    <tableColumn id="12" xr3:uid="{2B04ABC8-DE6F-426E-ADC0-D8AFC68CA58E}" name="Total Value" dataDxfId="3" dataCellStyle="Moeda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7158EF-FC37-4DA0-A03D-8A32AE8DC2F1}" name="Tabela2" displayName="Tabela2" ref="A3:M142" totalsRowShown="0">
  <autoFilter ref="A3:M142" xr:uid="{FA7158EF-FC37-4DA0-A03D-8A32AE8DC2F1}"/>
  <tableColumns count="13">
    <tableColumn id="1" xr3:uid="{76EE8DFE-44B8-49B3-BF15-577AD53B6BF9}" name="Subscriber ID"/>
    <tableColumn id="2" xr3:uid="{4EF021FC-8E62-4AFF-AC40-6B44453823F1}" name="Name"/>
    <tableColumn id="3" xr3:uid="{AA0201C2-4ABA-4D0C-B9EC-0289B8218BB8}" name="Plan"/>
    <tableColumn id="4" xr3:uid="{5173AB67-47DC-4192-8B4E-A6800AC29A56}" name="Start Date" dataDxfId="2"/>
    <tableColumn id="5" xr3:uid="{82C7A839-7247-4099-8987-B9888802520F}" name="Auto Renewal"/>
    <tableColumn id="6" xr3:uid="{BF37C5C6-F602-49C1-9031-E0052374E4A8}" name="Subscription Price"/>
    <tableColumn id="7" xr3:uid="{979D735B-C611-45AC-A781-BABED501FAFE}" name="Subscription Type"/>
    <tableColumn id="8" xr3:uid="{007FB9E5-13B0-4B34-8D21-36F6571B87F4}" name="EA Play Season Pass"/>
    <tableColumn id="9" xr3:uid="{FD99E287-6DAA-4FB9-AF59-B90A4BA2D089}" name="EA Play Season Pass_x000a_Price"/>
    <tableColumn id="10" xr3:uid="{6D8DA988-A39A-44B8-BB5E-314E4335E073}" name="Minecraft Season Pass"/>
    <tableColumn id="11" xr3:uid="{EC8961ED-8CEF-413A-818E-6E28C9F61106}" name="Minecraft Season Pass Price"/>
    <tableColumn id="12" xr3:uid="{9514C083-83F4-4C10-90D4-03E0B56A4818}" name="Coupon Value"/>
    <tableColumn id="13" xr3:uid="{B18647F3-EF0E-44E8-8F0B-BECFBDE9DAF3}" name="Total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E29" sqref="E29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E29" sqref="E29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F87B1-5E39-4EFD-88C1-57F79EDEA8C4}">
  <sheetPr>
    <tabColor theme="3" tint="0.749992370372631"/>
  </sheetPr>
  <dimension ref="A1:M142"/>
  <sheetViews>
    <sheetView workbookViewId="0">
      <selection activeCell="E29" sqref="E29"/>
    </sheetView>
  </sheetViews>
  <sheetFormatPr defaultRowHeight="14.4" x14ac:dyDescent="0.3"/>
  <cols>
    <col min="1" max="1" width="15.109375" bestFit="1" customWidth="1"/>
    <col min="2" max="2" width="18.21875" bestFit="1" customWidth="1"/>
    <col min="3" max="3" width="9" bestFit="1" customWidth="1"/>
    <col min="4" max="4" width="11.88671875" bestFit="1" customWidth="1"/>
    <col min="5" max="5" width="15.21875" bestFit="1" customWidth="1"/>
    <col min="6" max="6" width="19.44140625" bestFit="1" customWidth="1"/>
    <col min="7" max="7" width="19.109375" bestFit="1" customWidth="1"/>
    <col min="8" max="8" width="21" bestFit="1" customWidth="1"/>
    <col min="9" max="9" width="26.33203125" bestFit="1" customWidth="1"/>
    <col min="10" max="10" width="23.21875" bestFit="1" customWidth="1"/>
    <col min="11" max="11" width="28.21875" bestFit="1" customWidth="1"/>
    <col min="12" max="12" width="15.5546875" bestFit="1" customWidth="1"/>
    <col min="13" max="13" width="12.77734375" bestFit="1" customWidth="1"/>
  </cols>
  <sheetData>
    <row r="1" spans="1:13" x14ac:dyDescent="0.3">
      <c r="A1" s="16" t="s">
        <v>320</v>
      </c>
    </row>
    <row r="3" spans="1:13" x14ac:dyDescent="0.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312</v>
      </c>
      <c r="G3" t="s">
        <v>16</v>
      </c>
      <c r="H3" t="s">
        <v>309</v>
      </c>
      <c r="I3" t="s">
        <v>310</v>
      </c>
      <c r="J3" t="s">
        <v>30</v>
      </c>
      <c r="K3" t="s">
        <v>31</v>
      </c>
      <c r="L3" t="s">
        <v>32</v>
      </c>
      <c r="M3" t="s">
        <v>33</v>
      </c>
    </row>
    <row r="4" spans="1:13" x14ac:dyDescent="0.3">
      <c r="A4">
        <v>3231</v>
      </c>
      <c r="B4" t="s">
        <v>17</v>
      </c>
      <c r="C4" t="s">
        <v>18</v>
      </c>
      <c r="D4" s="15">
        <v>45292</v>
      </c>
      <c r="E4" t="s">
        <v>19</v>
      </c>
      <c r="F4">
        <v>15</v>
      </c>
      <c r="G4" t="s">
        <v>20</v>
      </c>
      <c r="H4" t="s">
        <v>19</v>
      </c>
      <c r="I4">
        <v>30</v>
      </c>
      <c r="J4" t="s">
        <v>19</v>
      </c>
      <c r="K4">
        <v>20</v>
      </c>
      <c r="L4">
        <v>5</v>
      </c>
      <c r="M4">
        <v>60</v>
      </c>
    </row>
    <row r="5" spans="1:13" x14ac:dyDescent="0.3">
      <c r="A5">
        <v>3525</v>
      </c>
      <c r="B5" t="s">
        <v>308</v>
      </c>
      <c r="C5" t="s">
        <v>22</v>
      </c>
      <c r="D5" s="15">
        <v>45642</v>
      </c>
      <c r="E5" t="s">
        <v>23</v>
      </c>
      <c r="F5">
        <v>5</v>
      </c>
      <c r="G5" t="s">
        <v>20</v>
      </c>
      <c r="H5" t="s">
        <v>23</v>
      </c>
      <c r="I5" t="s">
        <v>311</v>
      </c>
      <c r="J5" t="s">
        <v>23</v>
      </c>
      <c r="K5">
        <v>0</v>
      </c>
      <c r="L5">
        <v>1</v>
      </c>
      <c r="M5">
        <v>4</v>
      </c>
    </row>
    <row r="6" spans="1:13" x14ac:dyDescent="0.3">
      <c r="A6">
        <v>3523</v>
      </c>
      <c r="B6" t="s">
        <v>306</v>
      </c>
      <c r="C6" t="s">
        <v>18</v>
      </c>
      <c r="D6" s="15">
        <v>45640</v>
      </c>
      <c r="E6" t="s">
        <v>23</v>
      </c>
      <c r="F6">
        <v>15</v>
      </c>
      <c r="G6" t="s">
        <v>20</v>
      </c>
      <c r="H6" t="s">
        <v>19</v>
      </c>
      <c r="I6">
        <v>30</v>
      </c>
      <c r="J6" t="s">
        <v>19</v>
      </c>
      <c r="K6">
        <v>20</v>
      </c>
      <c r="L6">
        <v>3</v>
      </c>
      <c r="M6">
        <v>62</v>
      </c>
    </row>
    <row r="7" spans="1:13" x14ac:dyDescent="0.3">
      <c r="A7">
        <v>3234</v>
      </c>
      <c r="B7" t="s">
        <v>28</v>
      </c>
      <c r="C7" t="s">
        <v>18</v>
      </c>
      <c r="D7" s="15">
        <v>45342</v>
      </c>
      <c r="E7" t="s">
        <v>23</v>
      </c>
      <c r="F7">
        <v>15</v>
      </c>
      <c r="G7" t="s">
        <v>20</v>
      </c>
      <c r="H7" t="s">
        <v>19</v>
      </c>
      <c r="I7">
        <v>30</v>
      </c>
      <c r="J7" t="s">
        <v>19</v>
      </c>
      <c r="K7">
        <v>20</v>
      </c>
      <c r="L7">
        <v>3</v>
      </c>
      <c r="M7">
        <v>62</v>
      </c>
    </row>
    <row r="8" spans="1:13" x14ac:dyDescent="0.3">
      <c r="A8">
        <v>3235</v>
      </c>
      <c r="B8" t="s">
        <v>29</v>
      </c>
      <c r="C8" t="s">
        <v>22</v>
      </c>
      <c r="D8" s="15">
        <v>45356</v>
      </c>
      <c r="E8" t="s">
        <v>19</v>
      </c>
      <c r="F8">
        <v>5</v>
      </c>
      <c r="G8" t="s">
        <v>20</v>
      </c>
      <c r="H8" t="s">
        <v>23</v>
      </c>
      <c r="I8" t="s">
        <v>311</v>
      </c>
      <c r="J8" t="s">
        <v>23</v>
      </c>
      <c r="K8">
        <v>0</v>
      </c>
      <c r="L8">
        <v>1</v>
      </c>
      <c r="M8">
        <v>4</v>
      </c>
    </row>
    <row r="9" spans="1:13" x14ac:dyDescent="0.3">
      <c r="A9">
        <v>3236</v>
      </c>
      <c r="B9" t="s">
        <v>34</v>
      </c>
      <c r="C9" t="s">
        <v>26</v>
      </c>
      <c r="D9" s="15">
        <v>45353</v>
      </c>
      <c r="E9" t="s">
        <v>23</v>
      </c>
      <c r="F9">
        <v>10</v>
      </c>
      <c r="G9" t="s">
        <v>20</v>
      </c>
      <c r="H9" t="s">
        <v>23</v>
      </c>
      <c r="I9" t="s">
        <v>311</v>
      </c>
      <c r="J9" t="s">
        <v>19</v>
      </c>
      <c r="K9">
        <v>20</v>
      </c>
      <c r="L9">
        <v>2</v>
      </c>
      <c r="M9">
        <v>28</v>
      </c>
    </row>
    <row r="10" spans="1:13" x14ac:dyDescent="0.3">
      <c r="A10">
        <v>3521</v>
      </c>
      <c r="B10" t="s">
        <v>304</v>
      </c>
      <c r="C10" t="s">
        <v>26</v>
      </c>
      <c r="D10" s="15">
        <v>45638</v>
      </c>
      <c r="E10" t="s">
        <v>23</v>
      </c>
      <c r="F10">
        <v>10</v>
      </c>
      <c r="G10" t="s">
        <v>20</v>
      </c>
      <c r="H10" t="s">
        <v>23</v>
      </c>
      <c r="I10" t="s">
        <v>311</v>
      </c>
      <c r="J10" t="s">
        <v>19</v>
      </c>
      <c r="K10">
        <v>20</v>
      </c>
      <c r="L10">
        <v>10</v>
      </c>
      <c r="M10">
        <v>20</v>
      </c>
    </row>
    <row r="11" spans="1:13" x14ac:dyDescent="0.3">
      <c r="A11">
        <v>3519</v>
      </c>
      <c r="B11" t="s">
        <v>302</v>
      </c>
      <c r="C11" t="s">
        <v>22</v>
      </c>
      <c r="D11" s="15">
        <v>45636</v>
      </c>
      <c r="E11" t="s">
        <v>23</v>
      </c>
      <c r="F11">
        <v>5</v>
      </c>
      <c r="G11" t="s">
        <v>20</v>
      </c>
      <c r="H11" t="s">
        <v>23</v>
      </c>
      <c r="I11" t="s">
        <v>311</v>
      </c>
      <c r="J11" t="s">
        <v>23</v>
      </c>
      <c r="K11">
        <v>0</v>
      </c>
      <c r="L11">
        <v>2</v>
      </c>
      <c r="M11">
        <v>3</v>
      </c>
    </row>
    <row r="12" spans="1:13" x14ac:dyDescent="0.3">
      <c r="A12">
        <v>3239</v>
      </c>
      <c r="B12" t="s">
        <v>37</v>
      </c>
      <c r="C12" t="s">
        <v>18</v>
      </c>
      <c r="D12" s="15">
        <v>45356</v>
      </c>
      <c r="E12" t="s">
        <v>23</v>
      </c>
      <c r="F12">
        <v>15</v>
      </c>
      <c r="G12" t="s">
        <v>20</v>
      </c>
      <c r="H12" t="s">
        <v>19</v>
      </c>
      <c r="I12">
        <v>30</v>
      </c>
      <c r="J12" t="s">
        <v>19</v>
      </c>
      <c r="K12">
        <v>20</v>
      </c>
      <c r="L12">
        <v>5</v>
      </c>
      <c r="M12">
        <v>60</v>
      </c>
    </row>
    <row r="13" spans="1:13" x14ac:dyDescent="0.3">
      <c r="A13">
        <v>3517</v>
      </c>
      <c r="B13" t="s">
        <v>210</v>
      </c>
      <c r="C13" t="s">
        <v>18</v>
      </c>
      <c r="D13" s="15">
        <v>45634</v>
      </c>
      <c r="E13" t="s">
        <v>23</v>
      </c>
      <c r="F13">
        <v>15</v>
      </c>
      <c r="G13" t="s">
        <v>20</v>
      </c>
      <c r="H13" t="s">
        <v>19</v>
      </c>
      <c r="I13">
        <v>30</v>
      </c>
      <c r="J13" t="s">
        <v>19</v>
      </c>
      <c r="K13">
        <v>20</v>
      </c>
      <c r="L13">
        <v>20</v>
      </c>
      <c r="M13">
        <v>45</v>
      </c>
    </row>
    <row r="14" spans="1:13" x14ac:dyDescent="0.3">
      <c r="A14">
        <v>3241</v>
      </c>
      <c r="B14" t="s">
        <v>39</v>
      </c>
      <c r="C14" t="s">
        <v>22</v>
      </c>
      <c r="D14" s="15">
        <v>45358</v>
      </c>
      <c r="E14" t="s">
        <v>23</v>
      </c>
      <c r="F14">
        <v>5</v>
      </c>
      <c r="G14" t="s">
        <v>20</v>
      </c>
      <c r="H14" t="s">
        <v>23</v>
      </c>
      <c r="I14" t="s">
        <v>311</v>
      </c>
      <c r="J14" t="s">
        <v>23</v>
      </c>
      <c r="K14">
        <v>0</v>
      </c>
      <c r="L14">
        <v>1</v>
      </c>
      <c r="M14">
        <v>4</v>
      </c>
    </row>
    <row r="15" spans="1:13" x14ac:dyDescent="0.3">
      <c r="A15">
        <v>3515</v>
      </c>
      <c r="B15" t="s">
        <v>159</v>
      </c>
      <c r="C15" t="s">
        <v>26</v>
      </c>
      <c r="D15" s="15">
        <v>45632</v>
      </c>
      <c r="E15" t="s">
        <v>23</v>
      </c>
      <c r="F15">
        <v>10</v>
      </c>
      <c r="G15" t="s">
        <v>20</v>
      </c>
      <c r="H15" t="s">
        <v>23</v>
      </c>
      <c r="I15" t="s">
        <v>311</v>
      </c>
      <c r="J15" t="s">
        <v>19</v>
      </c>
      <c r="K15">
        <v>20</v>
      </c>
      <c r="L15">
        <v>10</v>
      </c>
      <c r="M15">
        <v>20</v>
      </c>
    </row>
    <row r="16" spans="1:13" x14ac:dyDescent="0.3">
      <c r="A16">
        <v>3243</v>
      </c>
      <c r="B16" t="s">
        <v>41</v>
      </c>
      <c r="C16" t="s">
        <v>26</v>
      </c>
      <c r="D16" s="15">
        <v>45360</v>
      </c>
      <c r="E16" t="s">
        <v>23</v>
      </c>
      <c r="F16">
        <v>10</v>
      </c>
      <c r="G16" t="s">
        <v>20</v>
      </c>
      <c r="H16" t="s">
        <v>23</v>
      </c>
      <c r="I16" t="s">
        <v>311</v>
      </c>
      <c r="J16" t="s">
        <v>19</v>
      </c>
      <c r="K16">
        <v>20</v>
      </c>
      <c r="L16">
        <v>10</v>
      </c>
      <c r="M16">
        <v>20</v>
      </c>
    </row>
    <row r="17" spans="1:13" x14ac:dyDescent="0.3">
      <c r="A17">
        <v>3513</v>
      </c>
      <c r="B17" t="s">
        <v>299</v>
      </c>
      <c r="C17" t="s">
        <v>22</v>
      </c>
      <c r="D17" s="15">
        <v>45630</v>
      </c>
      <c r="E17" t="s">
        <v>23</v>
      </c>
      <c r="F17">
        <v>5</v>
      </c>
      <c r="G17" t="s">
        <v>20</v>
      </c>
      <c r="H17" t="s">
        <v>23</v>
      </c>
      <c r="I17" t="s">
        <v>311</v>
      </c>
      <c r="J17" t="s">
        <v>23</v>
      </c>
      <c r="K17">
        <v>0</v>
      </c>
      <c r="L17">
        <v>1</v>
      </c>
      <c r="M17">
        <v>4</v>
      </c>
    </row>
    <row r="18" spans="1:13" x14ac:dyDescent="0.3">
      <c r="A18">
        <v>3245</v>
      </c>
      <c r="B18" t="s">
        <v>43</v>
      </c>
      <c r="C18" t="s">
        <v>18</v>
      </c>
      <c r="D18" s="15">
        <v>45362</v>
      </c>
      <c r="E18" t="s">
        <v>23</v>
      </c>
      <c r="F18">
        <v>15</v>
      </c>
      <c r="G18" t="s">
        <v>20</v>
      </c>
      <c r="H18" t="s">
        <v>19</v>
      </c>
      <c r="I18">
        <v>30</v>
      </c>
      <c r="J18" t="s">
        <v>19</v>
      </c>
      <c r="K18">
        <v>20</v>
      </c>
      <c r="L18">
        <v>8</v>
      </c>
      <c r="M18">
        <v>57</v>
      </c>
    </row>
    <row r="19" spans="1:13" x14ac:dyDescent="0.3">
      <c r="A19">
        <v>3511</v>
      </c>
      <c r="B19" t="s">
        <v>297</v>
      </c>
      <c r="C19" t="s">
        <v>18</v>
      </c>
      <c r="D19" s="15">
        <v>45628</v>
      </c>
      <c r="E19" t="s">
        <v>23</v>
      </c>
      <c r="F19">
        <v>15</v>
      </c>
      <c r="G19" t="s">
        <v>20</v>
      </c>
      <c r="H19" t="s">
        <v>19</v>
      </c>
      <c r="I19">
        <v>30</v>
      </c>
      <c r="J19" t="s">
        <v>19</v>
      </c>
      <c r="K19">
        <v>20</v>
      </c>
      <c r="L19">
        <v>15</v>
      </c>
      <c r="M19">
        <v>50</v>
      </c>
    </row>
    <row r="20" spans="1:13" x14ac:dyDescent="0.3">
      <c r="A20">
        <v>3247</v>
      </c>
      <c r="B20" t="s">
        <v>45</v>
      </c>
      <c r="C20" t="s">
        <v>22</v>
      </c>
      <c r="D20" s="15">
        <v>45364</v>
      </c>
      <c r="E20" t="s">
        <v>23</v>
      </c>
      <c r="F20">
        <v>5</v>
      </c>
      <c r="G20" t="s">
        <v>20</v>
      </c>
      <c r="H20" t="s">
        <v>23</v>
      </c>
      <c r="I20" t="s">
        <v>311</v>
      </c>
      <c r="J20" t="s">
        <v>23</v>
      </c>
      <c r="K20">
        <v>0</v>
      </c>
      <c r="L20">
        <v>2</v>
      </c>
      <c r="M20">
        <v>3</v>
      </c>
    </row>
    <row r="21" spans="1:13" x14ac:dyDescent="0.3">
      <c r="A21">
        <v>3509</v>
      </c>
      <c r="B21" t="s">
        <v>295</v>
      </c>
      <c r="C21" t="s">
        <v>26</v>
      </c>
      <c r="D21" s="15">
        <v>45626</v>
      </c>
      <c r="E21" t="s">
        <v>23</v>
      </c>
      <c r="F21">
        <v>10</v>
      </c>
      <c r="G21" t="s">
        <v>20</v>
      </c>
      <c r="H21" t="s">
        <v>23</v>
      </c>
      <c r="I21" t="s">
        <v>311</v>
      </c>
      <c r="J21" t="s">
        <v>19</v>
      </c>
      <c r="K21">
        <v>20</v>
      </c>
      <c r="L21">
        <v>10</v>
      </c>
      <c r="M21">
        <v>20</v>
      </c>
    </row>
    <row r="22" spans="1:13" x14ac:dyDescent="0.3">
      <c r="A22">
        <v>3249</v>
      </c>
      <c r="B22" t="s">
        <v>47</v>
      </c>
      <c r="C22" t="s">
        <v>26</v>
      </c>
      <c r="D22" s="15">
        <v>45366</v>
      </c>
      <c r="E22" t="s">
        <v>23</v>
      </c>
      <c r="F22">
        <v>10</v>
      </c>
      <c r="G22" t="s">
        <v>20</v>
      </c>
      <c r="H22" t="s">
        <v>23</v>
      </c>
      <c r="I22" t="s">
        <v>311</v>
      </c>
      <c r="J22" t="s">
        <v>19</v>
      </c>
      <c r="K22">
        <v>20</v>
      </c>
      <c r="L22">
        <v>5</v>
      </c>
      <c r="M22">
        <v>25</v>
      </c>
    </row>
    <row r="23" spans="1:13" x14ac:dyDescent="0.3">
      <c r="A23">
        <v>3507</v>
      </c>
      <c r="B23" t="s">
        <v>293</v>
      </c>
      <c r="C23" t="s">
        <v>22</v>
      </c>
      <c r="D23" s="15">
        <v>45624</v>
      </c>
      <c r="E23" t="s">
        <v>23</v>
      </c>
      <c r="F23">
        <v>5</v>
      </c>
      <c r="G23" t="s">
        <v>20</v>
      </c>
      <c r="H23" t="s">
        <v>23</v>
      </c>
      <c r="I23" t="s">
        <v>311</v>
      </c>
      <c r="J23" t="s">
        <v>23</v>
      </c>
      <c r="K23">
        <v>0</v>
      </c>
      <c r="L23">
        <v>1</v>
      </c>
      <c r="M23">
        <v>4</v>
      </c>
    </row>
    <row r="24" spans="1:13" x14ac:dyDescent="0.3">
      <c r="A24">
        <v>3251</v>
      </c>
      <c r="B24" t="s">
        <v>49</v>
      </c>
      <c r="C24" t="s">
        <v>18</v>
      </c>
      <c r="D24" s="15">
        <v>45368</v>
      </c>
      <c r="E24" t="s">
        <v>23</v>
      </c>
      <c r="F24">
        <v>15</v>
      </c>
      <c r="G24" t="s">
        <v>20</v>
      </c>
      <c r="H24" t="s">
        <v>19</v>
      </c>
      <c r="I24">
        <v>30</v>
      </c>
      <c r="J24" t="s">
        <v>19</v>
      </c>
      <c r="K24">
        <v>20</v>
      </c>
      <c r="L24">
        <v>3</v>
      </c>
      <c r="M24">
        <v>62</v>
      </c>
    </row>
    <row r="25" spans="1:13" x14ac:dyDescent="0.3">
      <c r="A25">
        <v>3505</v>
      </c>
      <c r="B25" t="s">
        <v>291</v>
      </c>
      <c r="C25" t="s">
        <v>18</v>
      </c>
      <c r="D25" s="15">
        <v>45622</v>
      </c>
      <c r="E25" t="s">
        <v>23</v>
      </c>
      <c r="F25">
        <v>15</v>
      </c>
      <c r="G25" t="s">
        <v>20</v>
      </c>
      <c r="H25" t="s">
        <v>19</v>
      </c>
      <c r="I25">
        <v>30</v>
      </c>
      <c r="J25" t="s">
        <v>19</v>
      </c>
      <c r="K25">
        <v>20</v>
      </c>
      <c r="L25">
        <v>20</v>
      </c>
      <c r="M25">
        <v>45</v>
      </c>
    </row>
    <row r="26" spans="1:13" x14ac:dyDescent="0.3">
      <c r="A26">
        <v>3253</v>
      </c>
      <c r="B26" t="s">
        <v>51</v>
      </c>
      <c r="C26" t="s">
        <v>22</v>
      </c>
      <c r="D26" s="15">
        <v>45370</v>
      </c>
      <c r="E26" t="s">
        <v>23</v>
      </c>
      <c r="F26">
        <v>5</v>
      </c>
      <c r="G26" t="s">
        <v>20</v>
      </c>
      <c r="H26" t="s">
        <v>23</v>
      </c>
      <c r="I26" t="s">
        <v>311</v>
      </c>
      <c r="J26" t="s">
        <v>23</v>
      </c>
      <c r="K26">
        <v>0</v>
      </c>
      <c r="L26">
        <v>1</v>
      </c>
      <c r="M26">
        <v>4</v>
      </c>
    </row>
    <row r="27" spans="1:13" x14ac:dyDescent="0.3">
      <c r="A27">
        <v>3503</v>
      </c>
      <c r="B27" t="s">
        <v>148</v>
      </c>
      <c r="C27" t="s">
        <v>26</v>
      </c>
      <c r="D27" s="15">
        <v>45620</v>
      </c>
      <c r="E27" t="s">
        <v>23</v>
      </c>
      <c r="F27">
        <v>10</v>
      </c>
      <c r="G27" t="s">
        <v>20</v>
      </c>
      <c r="H27" t="s">
        <v>23</v>
      </c>
      <c r="I27" t="s">
        <v>311</v>
      </c>
      <c r="J27" t="s">
        <v>19</v>
      </c>
      <c r="K27">
        <v>20</v>
      </c>
      <c r="L27">
        <v>10</v>
      </c>
      <c r="M27">
        <v>20</v>
      </c>
    </row>
    <row r="28" spans="1:13" x14ac:dyDescent="0.3">
      <c r="A28">
        <v>3255</v>
      </c>
      <c r="B28" t="s">
        <v>53</v>
      </c>
      <c r="C28" t="s">
        <v>26</v>
      </c>
      <c r="D28" s="15">
        <v>45372</v>
      </c>
      <c r="E28" t="s">
        <v>23</v>
      </c>
      <c r="F28">
        <v>10</v>
      </c>
      <c r="G28" t="s">
        <v>20</v>
      </c>
      <c r="H28" t="s">
        <v>23</v>
      </c>
      <c r="I28" t="s">
        <v>311</v>
      </c>
      <c r="J28" t="s">
        <v>19</v>
      </c>
      <c r="K28">
        <v>20</v>
      </c>
      <c r="L28">
        <v>10</v>
      </c>
      <c r="M28">
        <v>20</v>
      </c>
    </row>
    <row r="29" spans="1:13" x14ac:dyDescent="0.3">
      <c r="A29">
        <v>3501</v>
      </c>
      <c r="B29" t="s">
        <v>288</v>
      </c>
      <c r="C29" t="s">
        <v>22</v>
      </c>
      <c r="D29" s="15">
        <v>45618</v>
      </c>
      <c r="E29" t="s">
        <v>23</v>
      </c>
      <c r="F29">
        <v>5</v>
      </c>
      <c r="G29" t="s">
        <v>20</v>
      </c>
      <c r="H29" t="s">
        <v>23</v>
      </c>
      <c r="I29" t="s">
        <v>311</v>
      </c>
      <c r="J29" t="s">
        <v>23</v>
      </c>
      <c r="K29">
        <v>0</v>
      </c>
      <c r="L29">
        <v>1</v>
      </c>
      <c r="M29">
        <v>4</v>
      </c>
    </row>
    <row r="30" spans="1:13" x14ac:dyDescent="0.3">
      <c r="A30">
        <v>3257</v>
      </c>
      <c r="B30" t="s">
        <v>55</v>
      </c>
      <c r="C30" t="s">
        <v>18</v>
      </c>
      <c r="D30" s="15">
        <v>45374</v>
      </c>
      <c r="E30" t="s">
        <v>23</v>
      </c>
      <c r="F30">
        <v>15</v>
      </c>
      <c r="G30" t="s">
        <v>20</v>
      </c>
      <c r="H30" t="s">
        <v>19</v>
      </c>
      <c r="I30">
        <v>30</v>
      </c>
      <c r="J30" t="s">
        <v>19</v>
      </c>
      <c r="K30">
        <v>20</v>
      </c>
      <c r="L30">
        <v>5</v>
      </c>
      <c r="M30">
        <v>60</v>
      </c>
    </row>
    <row r="31" spans="1:13" x14ac:dyDescent="0.3">
      <c r="A31">
        <v>3499</v>
      </c>
      <c r="B31" t="s">
        <v>286</v>
      </c>
      <c r="C31" t="s">
        <v>18</v>
      </c>
      <c r="D31" s="15">
        <v>45616</v>
      </c>
      <c r="E31" t="s">
        <v>23</v>
      </c>
      <c r="F31">
        <v>15</v>
      </c>
      <c r="G31" t="s">
        <v>20</v>
      </c>
      <c r="H31" t="s">
        <v>19</v>
      </c>
      <c r="I31">
        <v>30</v>
      </c>
      <c r="J31" t="s">
        <v>19</v>
      </c>
      <c r="K31">
        <v>20</v>
      </c>
      <c r="L31">
        <v>3</v>
      </c>
      <c r="M31">
        <v>62</v>
      </c>
    </row>
    <row r="32" spans="1:13" x14ac:dyDescent="0.3">
      <c r="A32">
        <v>3259</v>
      </c>
      <c r="B32" t="s">
        <v>57</v>
      </c>
      <c r="C32" t="s">
        <v>22</v>
      </c>
      <c r="D32" s="15">
        <v>45376</v>
      </c>
      <c r="E32" t="s">
        <v>23</v>
      </c>
      <c r="F32">
        <v>5</v>
      </c>
      <c r="G32" t="s">
        <v>20</v>
      </c>
      <c r="H32" t="s">
        <v>23</v>
      </c>
      <c r="I32" t="s">
        <v>311</v>
      </c>
      <c r="J32" t="s">
        <v>23</v>
      </c>
      <c r="K32">
        <v>0</v>
      </c>
      <c r="L32">
        <v>1</v>
      </c>
      <c r="M32">
        <v>4</v>
      </c>
    </row>
    <row r="33" spans="1:13" x14ac:dyDescent="0.3">
      <c r="A33">
        <v>3497</v>
      </c>
      <c r="B33" t="s">
        <v>284</v>
      </c>
      <c r="C33" t="s">
        <v>26</v>
      </c>
      <c r="D33" s="15">
        <v>45614</v>
      </c>
      <c r="E33" t="s">
        <v>23</v>
      </c>
      <c r="F33">
        <v>10</v>
      </c>
      <c r="G33" t="s">
        <v>20</v>
      </c>
      <c r="H33" t="s">
        <v>23</v>
      </c>
      <c r="I33" t="s">
        <v>311</v>
      </c>
      <c r="J33" t="s">
        <v>19</v>
      </c>
      <c r="K33">
        <v>20</v>
      </c>
      <c r="L33">
        <v>10</v>
      </c>
      <c r="M33">
        <v>20</v>
      </c>
    </row>
    <row r="34" spans="1:13" x14ac:dyDescent="0.3">
      <c r="A34">
        <v>3261</v>
      </c>
      <c r="B34" t="s">
        <v>59</v>
      </c>
      <c r="C34" t="s">
        <v>26</v>
      </c>
      <c r="D34" s="15">
        <v>45378</v>
      </c>
      <c r="E34" t="s">
        <v>23</v>
      </c>
      <c r="F34">
        <v>10</v>
      </c>
      <c r="G34" t="s">
        <v>20</v>
      </c>
      <c r="H34" t="s">
        <v>23</v>
      </c>
      <c r="I34" t="s">
        <v>311</v>
      </c>
      <c r="J34" t="s">
        <v>19</v>
      </c>
      <c r="K34">
        <v>20</v>
      </c>
      <c r="L34">
        <v>10</v>
      </c>
      <c r="M34">
        <v>20</v>
      </c>
    </row>
    <row r="35" spans="1:13" x14ac:dyDescent="0.3">
      <c r="A35">
        <v>3495</v>
      </c>
      <c r="B35" t="s">
        <v>282</v>
      </c>
      <c r="C35" t="s">
        <v>22</v>
      </c>
      <c r="D35" s="15">
        <v>45612</v>
      </c>
      <c r="E35" t="s">
        <v>23</v>
      </c>
      <c r="F35">
        <v>5</v>
      </c>
      <c r="G35" t="s">
        <v>20</v>
      </c>
      <c r="H35" t="s">
        <v>23</v>
      </c>
      <c r="I35" t="s">
        <v>311</v>
      </c>
      <c r="J35" t="s">
        <v>23</v>
      </c>
      <c r="K35">
        <v>0</v>
      </c>
      <c r="L35">
        <v>2</v>
      </c>
      <c r="M35">
        <v>3</v>
      </c>
    </row>
    <row r="36" spans="1:13" x14ac:dyDescent="0.3">
      <c r="A36">
        <v>3263</v>
      </c>
      <c r="B36" t="s">
        <v>61</v>
      </c>
      <c r="C36" t="s">
        <v>18</v>
      </c>
      <c r="D36" s="15">
        <v>45380</v>
      </c>
      <c r="E36" t="s">
        <v>23</v>
      </c>
      <c r="F36">
        <v>15</v>
      </c>
      <c r="G36" t="s">
        <v>20</v>
      </c>
      <c r="H36" t="s">
        <v>19</v>
      </c>
      <c r="I36">
        <v>30</v>
      </c>
      <c r="J36" t="s">
        <v>19</v>
      </c>
      <c r="K36">
        <v>20</v>
      </c>
      <c r="L36">
        <v>3</v>
      </c>
      <c r="M36">
        <v>62</v>
      </c>
    </row>
    <row r="37" spans="1:13" x14ac:dyDescent="0.3">
      <c r="A37">
        <v>3491</v>
      </c>
      <c r="B37" t="s">
        <v>278</v>
      </c>
      <c r="C37" t="s">
        <v>26</v>
      </c>
      <c r="D37" s="15">
        <v>45608</v>
      </c>
      <c r="E37" t="s">
        <v>23</v>
      </c>
      <c r="F37">
        <v>10</v>
      </c>
      <c r="G37" t="s">
        <v>20</v>
      </c>
      <c r="H37" t="s">
        <v>23</v>
      </c>
      <c r="I37" t="s">
        <v>311</v>
      </c>
      <c r="J37" t="s">
        <v>19</v>
      </c>
      <c r="K37">
        <v>20</v>
      </c>
      <c r="L37">
        <v>5</v>
      </c>
      <c r="M37">
        <v>25</v>
      </c>
    </row>
    <row r="38" spans="1:13" x14ac:dyDescent="0.3">
      <c r="A38">
        <v>3265</v>
      </c>
      <c r="B38" t="s">
        <v>63</v>
      </c>
      <c r="C38" t="s">
        <v>22</v>
      </c>
      <c r="D38" s="15">
        <v>45382</v>
      </c>
      <c r="E38" t="s">
        <v>23</v>
      </c>
      <c r="F38">
        <v>5</v>
      </c>
      <c r="G38" t="s">
        <v>20</v>
      </c>
      <c r="H38" t="s">
        <v>23</v>
      </c>
      <c r="I38" t="s">
        <v>311</v>
      </c>
      <c r="J38" t="s">
        <v>23</v>
      </c>
      <c r="K38">
        <v>0</v>
      </c>
      <c r="L38">
        <v>1</v>
      </c>
      <c r="M38">
        <v>4</v>
      </c>
    </row>
    <row r="39" spans="1:13" x14ac:dyDescent="0.3">
      <c r="A39">
        <v>3266</v>
      </c>
      <c r="B39" t="s">
        <v>64</v>
      </c>
      <c r="C39" t="s">
        <v>22</v>
      </c>
      <c r="D39" s="15">
        <v>45383</v>
      </c>
      <c r="E39" t="s">
        <v>19</v>
      </c>
      <c r="F39">
        <v>5</v>
      </c>
      <c r="G39" t="s">
        <v>20</v>
      </c>
      <c r="H39" t="s">
        <v>23</v>
      </c>
      <c r="I39" t="s">
        <v>311</v>
      </c>
      <c r="J39" t="s">
        <v>23</v>
      </c>
      <c r="K39">
        <v>0</v>
      </c>
      <c r="L39">
        <v>0</v>
      </c>
      <c r="M39">
        <v>5</v>
      </c>
    </row>
    <row r="40" spans="1:13" x14ac:dyDescent="0.3">
      <c r="A40">
        <v>3490</v>
      </c>
      <c r="B40" t="s">
        <v>277</v>
      </c>
      <c r="C40" t="s">
        <v>18</v>
      </c>
      <c r="D40" s="15">
        <v>45607</v>
      </c>
      <c r="E40" t="s">
        <v>19</v>
      </c>
      <c r="F40">
        <v>15</v>
      </c>
      <c r="G40" t="s">
        <v>20</v>
      </c>
      <c r="H40" t="s">
        <v>19</v>
      </c>
      <c r="I40">
        <v>30</v>
      </c>
      <c r="J40" t="s">
        <v>19</v>
      </c>
      <c r="K40">
        <v>20</v>
      </c>
      <c r="L40">
        <v>15</v>
      </c>
      <c r="M40">
        <v>50</v>
      </c>
    </row>
    <row r="41" spans="1:13" x14ac:dyDescent="0.3">
      <c r="A41">
        <v>3486</v>
      </c>
      <c r="B41" t="s">
        <v>273</v>
      </c>
      <c r="C41" t="s">
        <v>22</v>
      </c>
      <c r="D41" s="15">
        <v>45603</v>
      </c>
      <c r="E41" t="s">
        <v>19</v>
      </c>
      <c r="F41">
        <v>5</v>
      </c>
      <c r="G41" t="s">
        <v>20</v>
      </c>
      <c r="H41" t="s">
        <v>23</v>
      </c>
      <c r="I41" t="s">
        <v>311</v>
      </c>
      <c r="J41" t="s">
        <v>23</v>
      </c>
      <c r="K41">
        <v>0</v>
      </c>
      <c r="L41">
        <v>0</v>
      </c>
      <c r="M41">
        <v>5</v>
      </c>
    </row>
    <row r="42" spans="1:13" x14ac:dyDescent="0.3">
      <c r="A42">
        <v>3485</v>
      </c>
      <c r="B42" t="s">
        <v>272</v>
      </c>
      <c r="C42" t="s">
        <v>18</v>
      </c>
      <c r="D42" s="15">
        <v>45602</v>
      </c>
      <c r="E42" t="s">
        <v>23</v>
      </c>
      <c r="F42">
        <v>15</v>
      </c>
      <c r="G42" t="s">
        <v>20</v>
      </c>
      <c r="H42" t="s">
        <v>19</v>
      </c>
      <c r="I42">
        <v>30</v>
      </c>
      <c r="J42" t="s">
        <v>19</v>
      </c>
      <c r="K42">
        <v>20</v>
      </c>
      <c r="L42">
        <v>15</v>
      </c>
      <c r="M42">
        <v>50</v>
      </c>
    </row>
    <row r="43" spans="1:13" x14ac:dyDescent="0.3">
      <c r="A43">
        <v>3270</v>
      </c>
      <c r="B43" t="s">
        <v>68</v>
      </c>
      <c r="C43" t="s">
        <v>18</v>
      </c>
      <c r="D43" s="15">
        <v>45387</v>
      </c>
      <c r="E43" t="s">
        <v>19</v>
      </c>
      <c r="F43">
        <v>15</v>
      </c>
      <c r="G43" t="s">
        <v>20</v>
      </c>
      <c r="H43" t="s">
        <v>19</v>
      </c>
      <c r="I43">
        <v>30</v>
      </c>
      <c r="J43" t="s">
        <v>19</v>
      </c>
      <c r="K43">
        <v>20</v>
      </c>
      <c r="L43">
        <v>15</v>
      </c>
      <c r="M43">
        <v>50</v>
      </c>
    </row>
    <row r="44" spans="1:13" x14ac:dyDescent="0.3">
      <c r="A44">
        <v>3271</v>
      </c>
      <c r="B44" t="s">
        <v>69</v>
      </c>
      <c r="C44" t="s">
        <v>26</v>
      </c>
      <c r="D44" s="15">
        <v>45388</v>
      </c>
      <c r="E44" t="s">
        <v>23</v>
      </c>
      <c r="F44">
        <v>10</v>
      </c>
      <c r="G44" t="s">
        <v>20</v>
      </c>
      <c r="H44" t="s">
        <v>23</v>
      </c>
      <c r="I44" t="s">
        <v>311</v>
      </c>
      <c r="J44" t="s">
        <v>19</v>
      </c>
      <c r="K44">
        <v>20</v>
      </c>
      <c r="L44">
        <v>5</v>
      </c>
      <c r="M44">
        <v>25</v>
      </c>
    </row>
    <row r="45" spans="1:13" x14ac:dyDescent="0.3">
      <c r="A45">
        <v>3483</v>
      </c>
      <c r="B45" t="s">
        <v>270</v>
      </c>
      <c r="C45" t="s">
        <v>26</v>
      </c>
      <c r="D45" s="15">
        <v>45600</v>
      </c>
      <c r="E45" t="s">
        <v>23</v>
      </c>
      <c r="F45">
        <v>10</v>
      </c>
      <c r="G45" t="s">
        <v>20</v>
      </c>
      <c r="H45" t="s">
        <v>23</v>
      </c>
      <c r="I45" t="s">
        <v>311</v>
      </c>
      <c r="J45" t="s">
        <v>19</v>
      </c>
      <c r="K45">
        <v>20</v>
      </c>
      <c r="L45">
        <v>10</v>
      </c>
      <c r="M45">
        <v>20</v>
      </c>
    </row>
    <row r="46" spans="1:13" x14ac:dyDescent="0.3">
      <c r="A46">
        <v>3481</v>
      </c>
      <c r="B46" t="s">
        <v>268</v>
      </c>
      <c r="C46" t="s">
        <v>22</v>
      </c>
      <c r="D46" s="15">
        <v>45598</v>
      </c>
      <c r="E46" t="s">
        <v>23</v>
      </c>
      <c r="F46">
        <v>5</v>
      </c>
      <c r="G46" t="s">
        <v>20</v>
      </c>
      <c r="H46" t="s">
        <v>23</v>
      </c>
      <c r="I46" t="s">
        <v>311</v>
      </c>
      <c r="J46" t="s">
        <v>23</v>
      </c>
      <c r="K46">
        <v>0</v>
      </c>
      <c r="L46">
        <v>1</v>
      </c>
      <c r="M46">
        <v>4</v>
      </c>
    </row>
    <row r="47" spans="1:13" x14ac:dyDescent="0.3">
      <c r="A47">
        <v>3479</v>
      </c>
      <c r="B47" t="s">
        <v>266</v>
      </c>
      <c r="C47" t="s">
        <v>18</v>
      </c>
      <c r="D47" s="15">
        <v>45596</v>
      </c>
      <c r="E47" t="s">
        <v>23</v>
      </c>
      <c r="F47">
        <v>15</v>
      </c>
      <c r="G47" t="s">
        <v>20</v>
      </c>
      <c r="H47" t="s">
        <v>19</v>
      </c>
      <c r="I47">
        <v>30</v>
      </c>
      <c r="J47" t="s">
        <v>19</v>
      </c>
      <c r="K47">
        <v>20</v>
      </c>
      <c r="L47">
        <v>20</v>
      </c>
      <c r="M47">
        <v>45</v>
      </c>
    </row>
    <row r="48" spans="1:13" x14ac:dyDescent="0.3">
      <c r="A48">
        <v>3275</v>
      </c>
      <c r="B48" t="s">
        <v>73</v>
      </c>
      <c r="C48" t="s">
        <v>22</v>
      </c>
      <c r="D48" s="15">
        <v>45392</v>
      </c>
      <c r="E48" t="s">
        <v>23</v>
      </c>
      <c r="F48">
        <v>5</v>
      </c>
      <c r="G48" t="s">
        <v>20</v>
      </c>
      <c r="H48" t="s">
        <v>23</v>
      </c>
      <c r="I48" t="s">
        <v>311</v>
      </c>
      <c r="J48" t="s">
        <v>23</v>
      </c>
      <c r="K48">
        <v>0</v>
      </c>
      <c r="L48">
        <v>2</v>
      </c>
      <c r="M48">
        <v>3</v>
      </c>
    </row>
    <row r="49" spans="1:13" x14ac:dyDescent="0.3">
      <c r="A49">
        <v>3477</v>
      </c>
      <c r="B49" t="s">
        <v>264</v>
      </c>
      <c r="C49" t="s">
        <v>26</v>
      </c>
      <c r="D49" s="15">
        <v>45594</v>
      </c>
      <c r="E49" t="s">
        <v>23</v>
      </c>
      <c r="F49">
        <v>10</v>
      </c>
      <c r="G49" t="s">
        <v>20</v>
      </c>
      <c r="H49" t="s">
        <v>23</v>
      </c>
      <c r="I49" t="s">
        <v>311</v>
      </c>
      <c r="J49" t="s">
        <v>19</v>
      </c>
      <c r="K49">
        <v>20</v>
      </c>
      <c r="L49">
        <v>10</v>
      </c>
      <c r="M49">
        <v>20</v>
      </c>
    </row>
    <row r="50" spans="1:13" x14ac:dyDescent="0.3">
      <c r="A50">
        <v>3277</v>
      </c>
      <c r="B50" t="s">
        <v>75</v>
      </c>
      <c r="C50" t="s">
        <v>26</v>
      </c>
      <c r="D50" s="15">
        <v>45394</v>
      </c>
      <c r="E50" t="s">
        <v>23</v>
      </c>
      <c r="F50">
        <v>10</v>
      </c>
      <c r="G50" t="s">
        <v>20</v>
      </c>
      <c r="H50" t="s">
        <v>23</v>
      </c>
      <c r="I50" t="s">
        <v>311</v>
      </c>
      <c r="J50" t="s">
        <v>19</v>
      </c>
      <c r="K50">
        <v>20</v>
      </c>
      <c r="L50">
        <v>10</v>
      </c>
      <c r="M50">
        <v>20</v>
      </c>
    </row>
    <row r="51" spans="1:13" x14ac:dyDescent="0.3">
      <c r="A51">
        <v>3475</v>
      </c>
      <c r="B51" t="s">
        <v>262</v>
      </c>
      <c r="C51" t="s">
        <v>22</v>
      </c>
      <c r="D51" s="15">
        <v>45592</v>
      </c>
      <c r="E51" t="s">
        <v>23</v>
      </c>
      <c r="F51">
        <v>5</v>
      </c>
      <c r="G51" t="s">
        <v>20</v>
      </c>
      <c r="H51" t="s">
        <v>23</v>
      </c>
      <c r="I51" t="s">
        <v>311</v>
      </c>
      <c r="J51" t="s">
        <v>23</v>
      </c>
      <c r="K51">
        <v>0</v>
      </c>
      <c r="L51">
        <v>1</v>
      </c>
      <c r="M51">
        <v>4</v>
      </c>
    </row>
    <row r="52" spans="1:13" x14ac:dyDescent="0.3">
      <c r="A52">
        <v>3279</v>
      </c>
      <c r="B52" t="s">
        <v>77</v>
      </c>
      <c r="C52" t="s">
        <v>18</v>
      </c>
      <c r="D52" s="15">
        <v>45396</v>
      </c>
      <c r="E52" t="s">
        <v>23</v>
      </c>
      <c r="F52">
        <v>15</v>
      </c>
      <c r="G52" t="s">
        <v>20</v>
      </c>
      <c r="H52" t="s">
        <v>19</v>
      </c>
      <c r="I52">
        <v>30</v>
      </c>
      <c r="J52" t="s">
        <v>19</v>
      </c>
      <c r="K52">
        <v>20</v>
      </c>
      <c r="L52">
        <v>3</v>
      </c>
      <c r="M52">
        <v>62</v>
      </c>
    </row>
    <row r="53" spans="1:13" x14ac:dyDescent="0.3">
      <c r="A53">
        <v>3473</v>
      </c>
      <c r="B53" t="s">
        <v>169</v>
      </c>
      <c r="C53" t="s">
        <v>18</v>
      </c>
      <c r="D53" s="15">
        <v>45590</v>
      </c>
      <c r="E53" t="s">
        <v>23</v>
      </c>
      <c r="F53">
        <v>15</v>
      </c>
      <c r="G53" t="s">
        <v>20</v>
      </c>
      <c r="H53" t="s">
        <v>19</v>
      </c>
      <c r="I53">
        <v>30</v>
      </c>
      <c r="J53" t="s">
        <v>19</v>
      </c>
      <c r="K53">
        <v>20</v>
      </c>
      <c r="L53">
        <v>3</v>
      </c>
      <c r="M53">
        <v>62</v>
      </c>
    </row>
    <row r="54" spans="1:13" x14ac:dyDescent="0.3">
      <c r="A54">
        <v>3281</v>
      </c>
      <c r="B54" t="s">
        <v>79</v>
      </c>
      <c r="C54" t="s">
        <v>22</v>
      </c>
      <c r="D54" s="15">
        <v>45398</v>
      </c>
      <c r="E54" t="s">
        <v>23</v>
      </c>
      <c r="F54">
        <v>5</v>
      </c>
      <c r="G54" t="s">
        <v>20</v>
      </c>
      <c r="H54" t="s">
        <v>23</v>
      </c>
      <c r="I54" t="s">
        <v>311</v>
      </c>
      <c r="J54" t="s">
        <v>23</v>
      </c>
      <c r="K54">
        <v>0</v>
      </c>
      <c r="L54">
        <v>1</v>
      </c>
      <c r="M54">
        <v>4</v>
      </c>
    </row>
    <row r="55" spans="1:13" x14ac:dyDescent="0.3">
      <c r="A55">
        <v>3471</v>
      </c>
      <c r="B55" t="s">
        <v>259</v>
      </c>
      <c r="C55" t="s">
        <v>26</v>
      </c>
      <c r="D55" s="15">
        <v>45588</v>
      </c>
      <c r="E55" t="s">
        <v>23</v>
      </c>
      <c r="F55">
        <v>10</v>
      </c>
      <c r="G55" t="s">
        <v>20</v>
      </c>
      <c r="H55" t="s">
        <v>23</v>
      </c>
      <c r="I55" t="s">
        <v>311</v>
      </c>
      <c r="J55" t="s">
        <v>19</v>
      </c>
      <c r="K55">
        <v>20</v>
      </c>
      <c r="L55">
        <v>10</v>
      </c>
      <c r="M55">
        <v>20</v>
      </c>
    </row>
    <row r="56" spans="1:13" x14ac:dyDescent="0.3">
      <c r="A56">
        <v>3283</v>
      </c>
      <c r="B56" t="s">
        <v>81</v>
      </c>
      <c r="C56" t="s">
        <v>26</v>
      </c>
      <c r="D56" s="15">
        <v>45400</v>
      </c>
      <c r="E56" t="s">
        <v>23</v>
      </c>
      <c r="F56">
        <v>10</v>
      </c>
      <c r="G56" t="s">
        <v>20</v>
      </c>
      <c r="H56" t="s">
        <v>23</v>
      </c>
      <c r="I56" t="s">
        <v>311</v>
      </c>
      <c r="J56" t="s">
        <v>19</v>
      </c>
      <c r="K56">
        <v>20</v>
      </c>
      <c r="L56">
        <v>10</v>
      </c>
      <c r="M56">
        <v>20</v>
      </c>
    </row>
    <row r="57" spans="1:13" x14ac:dyDescent="0.3">
      <c r="A57">
        <v>3469</v>
      </c>
      <c r="B57" t="s">
        <v>257</v>
      </c>
      <c r="C57" t="s">
        <v>22</v>
      </c>
      <c r="D57" s="15">
        <v>45586</v>
      </c>
      <c r="E57" t="s">
        <v>23</v>
      </c>
      <c r="F57">
        <v>5</v>
      </c>
      <c r="G57" t="s">
        <v>20</v>
      </c>
      <c r="H57" t="s">
        <v>23</v>
      </c>
      <c r="I57" t="s">
        <v>311</v>
      </c>
      <c r="J57" t="s">
        <v>23</v>
      </c>
      <c r="K57">
        <v>0</v>
      </c>
      <c r="L57">
        <v>2</v>
      </c>
      <c r="M57">
        <v>3</v>
      </c>
    </row>
    <row r="58" spans="1:13" x14ac:dyDescent="0.3">
      <c r="A58">
        <v>3285</v>
      </c>
      <c r="B58" t="s">
        <v>83</v>
      </c>
      <c r="C58" t="s">
        <v>18</v>
      </c>
      <c r="D58" s="15">
        <v>45402</v>
      </c>
      <c r="E58" t="s">
        <v>23</v>
      </c>
      <c r="F58">
        <v>15</v>
      </c>
      <c r="G58" t="s">
        <v>20</v>
      </c>
      <c r="H58" t="s">
        <v>19</v>
      </c>
      <c r="I58">
        <v>30</v>
      </c>
      <c r="J58" t="s">
        <v>19</v>
      </c>
      <c r="K58">
        <v>20</v>
      </c>
      <c r="L58">
        <v>20</v>
      </c>
      <c r="M58">
        <v>45</v>
      </c>
    </row>
    <row r="59" spans="1:13" x14ac:dyDescent="0.3">
      <c r="A59">
        <v>3467</v>
      </c>
      <c r="B59" t="s">
        <v>255</v>
      </c>
      <c r="C59" t="s">
        <v>18</v>
      </c>
      <c r="D59" s="15">
        <v>45584</v>
      </c>
      <c r="E59" t="s">
        <v>23</v>
      </c>
      <c r="F59">
        <v>15</v>
      </c>
      <c r="G59" t="s">
        <v>20</v>
      </c>
      <c r="H59" t="s">
        <v>19</v>
      </c>
      <c r="I59">
        <v>30</v>
      </c>
      <c r="J59" t="s">
        <v>19</v>
      </c>
      <c r="K59">
        <v>20</v>
      </c>
      <c r="L59">
        <v>15</v>
      </c>
      <c r="M59">
        <v>50</v>
      </c>
    </row>
    <row r="60" spans="1:13" x14ac:dyDescent="0.3">
      <c r="A60">
        <v>3287</v>
      </c>
      <c r="B60" t="s">
        <v>85</v>
      </c>
      <c r="C60" t="s">
        <v>22</v>
      </c>
      <c r="D60" s="15">
        <v>45404</v>
      </c>
      <c r="E60" t="s">
        <v>23</v>
      </c>
      <c r="F60">
        <v>5</v>
      </c>
      <c r="G60" t="s">
        <v>20</v>
      </c>
      <c r="H60" t="s">
        <v>23</v>
      </c>
      <c r="I60" t="s">
        <v>311</v>
      </c>
      <c r="J60" t="s">
        <v>23</v>
      </c>
      <c r="K60">
        <v>0</v>
      </c>
      <c r="L60">
        <v>1</v>
      </c>
      <c r="M60">
        <v>4</v>
      </c>
    </row>
    <row r="61" spans="1:13" x14ac:dyDescent="0.3">
      <c r="A61">
        <v>3465</v>
      </c>
      <c r="B61" t="s">
        <v>253</v>
      </c>
      <c r="C61" t="s">
        <v>26</v>
      </c>
      <c r="D61" s="15">
        <v>45582</v>
      </c>
      <c r="E61" t="s">
        <v>23</v>
      </c>
      <c r="F61">
        <v>10</v>
      </c>
      <c r="G61" t="s">
        <v>20</v>
      </c>
      <c r="H61" t="s">
        <v>23</v>
      </c>
      <c r="I61" t="s">
        <v>311</v>
      </c>
      <c r="J61" t="s">
        <v>19</v>
      </c>
      <c r="K61">
        <v>20</v>
      </c>
      <c r="L61">
        <v>10</v>
      </c>
      <c r="M61">
        <v>20</v>
      </c>
    </row>
    <row r="62" spans="1:13" x14ac:dyDescent="0.3">
      <c r="A62">
        <v>3289</v>
      </c>
      <c r="B62" t="s">
        <v>87</v>
      </c>
      <c r="C62" t="s">
        <v>26</v>
      </c>
      <c r="D62" s="15">
        <v>45406</v>
      </c>
      <c r="E62" t="s">
        <v>23</v>
      </c>
      <c r="F62">
        <v>10</v>
      </c>
      <c r="G62" t="s">
        <v>20</v>
      </c>
      <c r="H62" t="s">
        <v>23</v>
      </c>
      <c r="I62" t="s">
        <v>311</v>
      </c>
      <c r="J62" t="s">
        <v>19</v>
      </c>
      <c r="K62">
        <v>20</v>
      </c>
      <c r="L62">
        <v>10</v>
      </c>
      <c r="M62">
        <v>20</v>
      </c>
    </row>
    <row r="63" spans="1:13" x14ac:dyDescent="0.3">
      <c r="A63">
        <v>3463</v>
      </c>
      <c r="B63" t="s">
        <v>251</v>
      </c>
      <c r="C63" t="s">
        <v>22</v>
      </c>
      <c r="D63" s="15">
        <v>45580</v>
      </c>
      <c r="E63" t="s">
        <v>23</v>
      </c>
      <c r="F63">
        <v>5</v>
      </c>
      <c r="G63" t="s">
        <v>20</v>
      </c>
      <c r="H63" t="s">
        <v>23</v>
      </c>
      <c r="I63" t="s">
        <v>311</v>
      </c>
      <c r="J63" t="s">
        <v>23</v>
      </c>
      <c r="K63">
        <v>0</v>
      </c>
      <c r="L63">
        <v>1</v>
      </c>
      <c r="M63">
        <v>4</v>
      </c>
    </row>
    <row r="64" spans="1:13" x14ac:dyDescent="0.3">
      <c r="A64">
        <v>3291</v>
      </c>
      <c r="B64" t="s">
        <v>89</v>
      </c>
      <c r="C64" t="s">
        <v>18</v>
      </c>
      <c r="D64" s="15">
        <v>45408</v>
      </c>
      <c r="E64" t="s">
        <v>23</v>
      </c>
      <c r="F64">
        <v>15</v>
      </c>
      <c r="G64" t="s">
        <v>20</v>
      </c>
      <c r="H64" t="s">
        <v>19</v>
      </c>
      <c r="I64">
        <v>30</v>
      </c>
      <c r="J64" t="s">
        <v>19</v>
      </c>
      <c r="K64">
        <v>20</v>
      </c>
      <c r="L64">
        <v>5</v>
      </c>
      <c r="M64">
        <v>60</v>
      </c>
    </row>
    <row r="65" spans="1:13" x14ac:dyDescent="0.3">
      <c r="A65">
        <v>3461</v>
      </c>
      <c r="B65" t="s">
        <v>249</v>
      </c>
      <c r="C65" t="s">
        <v>18</v>
      </c>
      <c r="D65" s="15">
        <v>45578</v>
      </c>
      <c r="E65" t="s">
        <v>23</v>
      </c>
      <c r="F65">
        <v>15</v>
      </c>
      <c r="G65" t="s">
        <v>20</v>
      </c>
      <c r="H65" t="s">
        <v>19</v>
      </c>
      <c r="I65">
        <v>30</v>
      </c>
      <c r="J65" t="s">
        <v>19</v>
      </c>
      <c r="K65">
        <v>20</v>
      </c>
      <c r="L65">
        <v>15</v>
      </c>
      <c r="M65">
        <v>50</v>
      </c>
    </row>
    <row r="66" spans="1:13" x14ac:dyDescent="0.3">
      <c r="A66">
        <v>3293</v>
      </c>
      <c r="B66" t="s">
        <v>91</v>
      </c>
      <c r="C66" t="s">
        <v>22</v>
      </c>
      <c r="D66" s="15">
        <v>45410</v>
      </c>
      <c r="E66" t="s">
        <v>23</v>
      </c>
      <c r="F66">
        <v>5</v>
      </c>
      <c r="G66" t="s">
        <v>20</v>
      </c>
      <c r="H66" t="s">
        <v>23</v>
      </c>
      <c r="I66" t="s">
        <v>311</v>
      </c>
      <c r="J66" t="s">
        <v>23</v>
      </c>
      <c r="K66">
        <v>0</v>
      </c>
      <c r="L66">
        <v>1</v>
      </c>
      <c r="M66">
        <v>4</v>
      </c>
    </row>
    <row r="67" spans="1:13" x14ac:dyDescent="0.3">
      <c r="A67">
        <v>3459</v>
      </c>
      <c r="B67" t="s">
        <v>248</v>
      </c>
      <c r="C67" t="s">
        <v>26</v>
      </c>
      <c r="D67" s="15">
        <v>45576</v>
      </c>
      <c r="E67" t="s">
        <v>23</v>
      </c>
      <c r="F67">
        <v>10</v>
      </c>
      <c r="G67" t="s">
        <v>20</v>
      </c>
      <c r="H67" t="s">
        <v>23</v>
      </c>
      <c r="I67" t="s">
        <v>311</v>
      </c>
      <c r="J67" t="s">
        <v>19</v>
      </c>
      <c r="K67">
        <v>20</v>
      </c>
      <c r="L67">
        <v>10</v>
      </c>
      <c r="M67">
        <v>20</v>
      </c>
    </row>
    <row r="68" spans="1:13" x14ac:dyDescent="0.3">
      <c r="A68">
        <v>3295</v>
      </c>
      <c r="B68" t="s">
        <v>93</v>
      </c>
      <c r="C68" t="s">
        <v>26</v>
      </c>
      <c r="D68" s="15">
        <v>45412</v>
      </c>
      <c r="E68" t="s">
        <v>23</v>
      </c>
      <c r="F68">
        <v>10</v>
      </c>
      <c r="G68" t="s">
        <v>20</v>
      </c>
      <c r="H68" t="s">
        <v>23</v>
      </c>
      <c r="I68" t="s">
        <v>311</v>
      </c>
      <c r="J68" t="s">
        <v>19</v>
      </c>
      <c r="K68">
        <v>20</v>
      </c>
      <c r="L68">
        <v>5</v>
      </c>
      <c r="M68">
        <v>25</v>
      </c>
    </row>
    <row r="69" spans="1:13" x14ac:dyDescent="0.3">
      <c r="A69">
        <v>3296</v>
      </c>
      <c r="B69" t="s">
        <v>94</v>
      </c>
      <c r="C69" t="s">
        <v>22</v>
      </c>
      <c r="D69" s="15">
        <v>45413</v>
      </c>
      <c r="E69" t="s">
        <v>23</v>
      </c>
      <c r="F69">
        <v>5</v>
      </c>
      <c r="G69" t="s">
        <v>20</v>
      </c>
      <c r="H69" t="s">
        <v>23</v>
      </c>
      <c r="I69" t="s">
        <v>311</v>
      </c>
      <c r="J69" t="s">
        <v>23</v>
      </c>
      <c r="K69">
        <v>0</v>
      </c>
      <c r="L69">
        <v>0</v>
      </c>
      <c r="M69">
        <v>5</v>
      </c>
    </row>
    <row r="70" spans="1:13" x14ac:dyDescent="0.3">
      <c r="A70">
        <v>3457</v>
      </c>
      <c r="B70" t="s">
        <v>246</v>
      </c>
      <c r="C70" t="s">
        <v>22</v>
      </c>
      <c r="D70" s="15">
        <v>45574</v>
      </c>
      <c r="E70" t="s">
        <v>23</v>
      </c>
      <c r="F70">
        <v>5</v>
      </c>
      <c r="G70" t="s">
        <v>20</v>
      </c>
      <c r="H70" t="s">
        <v>23</v>
      </c>
      <c r="I70" t="s">
        <v>311</v>
      </c>
      <c r="J70" t="s">
        <v>23</v>
      </c>
      <c r="K70">
        <v>0</v>
      </c>
      <c r="L70">
        <v>1</v>
      </c>
      <c r="M70">
        <v>4</v>
      </c>
    </row>
    <row r="71" spans="1:13" x14ac:dyDescent="0.3">
      <c r="A71">
        <v>3455</v>
      </c>
      <c r="B71" t="s">
        <v>244</v>
      </c>
      <c r="C71" t="s">
        <v>18</v>
      </c>
      <c r="D71" s="15">
        <v>45572</v>
      </c>
      <c r="E71" t="s">
        <v>23</v>
      </c>
      <c r="F71">
        <v>15</v>
      </c>
      <c r="G71" t="s">
        <v>20</v>
      </c>
      <c r="H71" t="s">
        <v>19</v>
      </c>
      <c r="I71">
        <v>30</v>
      </c>
      <c r="J71" t="s">
        <v>19</v>
      </c>
      <c r="K71">
        <v>20</v>
      </c>
      <c r="L71">
        <v>20</v>
      </c>
      <c r="M71">
        <v>45</v>
      </c>
    </row>
    <row r="72" spans="1:13" x14ac:dyDescent="0.3">
      <c r="A72">
        <v>3453</v>
      </c>
      <c r="B72" t="s">
        <v>74</v>
      </c>
      <c r="C72" t="s">
        <v>26</v>
      </c>
      <c r="D72" s="15">
        <v>45570</v>
      </c>
      <c r="E72" t="s">
        <v>23</v>
      </c>
      <c r="F72">
        <v>10</v>
      </c>
      <c r="G72" t="s">
        <v>20</v>
      </c>
      <c r="H72" t="s">
        <v>23</v>
      </c>
      <c r="I72" t="s">
        <v>311</v>
      </c>
      <c r="J72" t="s">
        <v>19</v>
      </c>
      <c r="K72">
        <v>20</v>
      </c>
      <c r="L72">
        <v>10</v>
      </c>
      <c r="M72">
        <v>20</v>
      </c>
    </row>
    <row r="73" spans="1:13" x14ac:dyDescent="0.3">
      <c r="A73">
        <v>3300</v>
      </c>
      <c r="B73" t="s">
        <v>98</v>
      </c>
      <c r="C73" t="s">
        <v>18</v>
      </c>
      <c r="D73" s="15">
        <v>45417</v>
      </c>
      <c r="E73" t="s">
        <v>23</v>
      </c>
      <c r="F73">
        <v>15</v>
      </c>
      <c r="G73" t="s">
        <v>20</v>
      </c>
      <c r="H73" t="s">
        <v>19</v>
      </c>
      <c r="I73">
        <v>30</v>
      </c>
      <c r="J73" t="s">
        <v>19</v>
      </c>
      <c r="K73">
        <v>20</v>
      </c>
      <c r="L73">
        <v>15</v>
      </c>
      <c r="M73">
        <v>50</v>
      </c>
    </row>
    <row r="74" spans="1:13" x14ac:dyDescent="0.3">
      <c r="A74">
        <v>3301</v>
      </c>
      <c r="B74" t="s">
        <v>99</v>
      </c>
      <c r="C74" t="s">
        <v>26</v>
      </c>
      <c r="D74" s="15">
        <v>45418</v>
      </c>
      <c r="E74" t="s">
        <v>19</v>
      </c>
      <c r="F74">
        <v>10</v>
      </c>
      <c r="G74" t="s">
        <v>20</v>
      </c>
      <c r="H74" t="s">
        <v>23</v>
      </c>
      <c r="I74" t="s">
        <v>311</v>
      </c>
      <c r="J74" t="s">
        <v>19</v>
      </c>
      <c r="K74">
        <v>20</v>
      </c>
      <c r="L74">
        <v>5</v>
      </c>
      <c r="M74">
        <v>25</v>
      </c>
    </row>
    <row r="75" spans="1:13" x14ac:dyDescent="0.3">
      <c r="A75">
        <v>3451</v>
      </c>
      <c r="B75" t="s">
        <v>242</v>
      </c>
      <c r="C75" t="s">
        <v>22</v>
      </c>
      <c r="D75" s="15">
        <v>45568</v>
      </c>
      <c r="E75" t="s">
        <v>23</v>
      </c>
      <c r="F75">
        <v>5</v>
      </c>
      <c r="G75" t="s">
        <v>20</v>
      </c>
      <c r="H75" t="s">
        <v>23</v>
      </c>
      <c r="I75" t="s">
        <v>311</v>
      </c>
      <c r="J75" t="s">
        <v>23</v>
      </c>
      <c r="K75">
        <v>0</v>
      </c>
      <c r="L75">
        <v>1</v>
      </c>
      <c r="M75">
        <v>4</v>
      </c>
    </row>
    <row r="76" spans="1:13" x14ac:dyDescent="0.3">
      <c r="A76">
        <v>3449</v>
      </c>
      <c r="B76" t="s">
        <v>240</v>
      </c>
      <c r="C76" t="s">
        <v>18</v>
      </c>
      <c r="D76" s="15">
        <v>45566</v>
      </c>
      <c r="E76" t="s">
        <v>23</v>
      </c>
      <c r="F76">
        <v>15</v>
      </c>
      <c r="G76" t="s">
        <v>20</v>
      </c>
      <c r="H76" t="s">
        <v>19</v>
      </c>
      <c r="I76">
        <v>30</v>
      </c>
      <c r="J76" t="s">
        <v>19</v>
      </c>
      <c r="K76">
        <v>20</v>
      </c>
      <c r="L76">
        <v>3</v>
      </c>
      <c r="M76">
        <v>62</v>
      </c>
    </row>
    <row r="77" spans="1:13" x14ac:dyDescent="0.3">
      <c r="A77">
        <v>3447</v>
      </c>
      <c r="B77" t="s">
        <v>238</v>
      </c>
      <c r="C77" t="s">
        <v>26</v>
      </c>
      <c r="D77" s="15">
        <v>45564</v>
      </c>
      <c r="E77" t="s">
        <v>23</v>
      </c>
      <c r="F77">
        <v>10</v>
      </c>
      <c r="G77" t="s">
        <v>20</v>
      </c>
      <c r="H77" t="s">
        <v>23</v>
      </c>
      <c r="I77" t="s">
        <v>311</v>
      </c>
      <c r="J77" t="s">
        <v>19</v>
      </c>
      <c r="K77">
        <v>20</v>
      </c>
      <c r="L77">
        <v>10</v>
      </c>
      <c r="M77">
        <v>20</v>
      </c>
    </row>
    <row r="78" spans="1:13" x14ac:dyDescent="0.3">
      <c r="A78">
        <v>3305</v>
      </c>
      <c r="B78" t="s">
        <v>103</v>
      </c>
      <c r="C78" t="s">
        <v>22</v>
      </c>
      <c r="D78" s="15">
        <v>45422</v>
      </c>
      <c r="E78" t="s">
        <v>19</v>
      </c>
      <c r="F78">
        <v>5</v>
      </c>
      <c r="G78" t="s">
        <v>20</v>
      </c>
      <c r="H78" t="s">
        <v>23</v>
      </c>
      <c r="I78" t="s">
        <v>311</v>
      </c>
      <c r="J78" t="s">
        <v>23</v>
      </c>
      <c r="K78">
        <v>0</v>
      </c>
      <c r="L78">
        <v>2</v>
      </c>
      <c r="M78">
        <v>3</v>
      </c>
    </row>
    <row r="79" spans="1:13" x14ac:dyDescent="0.3">
      <c r="A79">
        <v>3445</v>
      </c>
      <c r="B79" t="s">
        <v>66</v>
      </c>
      <c r="C79" t="s">
        <v>22</v>
      </c>
      <c r="D79" s="15">
        <v>45562</v>
      </c>
      <c r="E79" t="s">
        <v>23</v>
      </c>
      <c r="F79">
        <v>5</v>
      </c>
      <c r="G79" t="s">
        <v>20</v>
      </c>
      <c r="H79" t="s">
        <v>23</v>
      </c>
      <c r="I79" t="s">
        <v>311</v>
      </c>
      <c r="J79" t="s">
        <v>23</v>
      </c>
      <c r="K79">
        <v>0</v>
      </c>
      <c r="L79">
        <v>2</v>
      </c>
      <c r="M79">
        <v>3</v>
      </c>
    </row>
    <row r="80" spans="1:13" x14ac:dyDescent="0.3">
      <c r="A80">
        <v>3307</v>
      </c>
      <c r="B80" t="s">
        <v>105</v>
      </c>
      <c r="C80" t="s">
        <v>26</v>
      </c>
      <c r="D80" s="15">
        <v>45424</v>
      </c>
      <c r="E80" t="s">
        <v>19</v>
      </c>
      <c r="F80">
        <v>10</v>
      </c>
      <c r="G80" t="s">
        <v>20</v>
      </c>
      <c r="H80" t="s">
        <v>23</v>
      </c>
      <c r="I80" t="s">
        <v>311</v>
      </c>
      <c r="J80" t="s">
        <v>19</v>
      </c>
      <c r="K80">
        <v>20</v>
      </c>
      <c r="L80">
        <v>10</v>
      </c>
      <c r="M80">
        <v>20</v>
      </c>
    </row>
    <row r="81" spans="1:13" x14ac:dyDescent="0.3">
      <c r="A81">
        <v>3441</v>
      </c>
      <c r="B81" t="s">
        <v>233</v>
      </c>
      <c r="C81" t="s">
        <v>26</v>
      </c>
      <c r="D81" s="15">
        <v>45558</v>
      </c>
      <c r="E81" t="s">
        <v>23</v>
      </c>
      <c r="F81">
        <v>10</v>
      </c>
      <c r="G81" t="s">
        <v>20</v>
      </c>
      <c r="H81" t="s">
        <v>23</v>
      </c>
      <c r="I81" t="s">
        <v>311</v>
      </c>
      <c r="J81" t="s">
        <v>19</v>
      </c>
      <c r="K81">
        <v>20</v>
      </c>
      <c r="L81">
        <v>5</v>
      </c>
      <c r="M81">
        <v>25</v>
      </c>
    </row>
    <row r="82" spans="1:13" x14ac:dyDescent="0.3">
      <c r="A82">
        <v>3309</v>
      </c>
      <c r="B82" t="s">
        <v>107</v>
      </c>
      <c r="C82" t="s">
        <v>18</v>
      </c>
      <c r="D82" s="15">
        <v>45426</v>
      </c>
      <c r="E82" t="s">
        <v>19</v>
      </c>
      <c r="F82">
        <v>15</v>
      </c>
      <c r="G82" t="s">
        <v>20</v>
      </c>
      <c r="H82" t="s">
        <v>19</v>
      </c>
      <c r="I82">
        <v>30</v>
      </c>
      <c r="J82" t="s">
        <v>19</v>
      </c>
      <c r="K82">
        <v>20</v>
      </c>
      <c r="L82">
        <v>3</v>
      </c>
      <c r="M82">
        <v>62</v>
      </c>
    </row>
    <row r="83" spans="1:13" x14ac:dyDescent="0.3">
      <c r="A83">
        <v>3440</v>
      </c>
      <c r="B83" t="s">
        <v>232</v>
      </c>
      <c r="C83" t="s">
        <v>18</v>
      </c>
      <c r="D83" s="15">
        <v>45557</v>
      </c>
      <c r="E83" t="s">
        <v>19</v>
      </c>
      <c r="F83">
        <v>15</v>
      </c>
      <c r="G83" t="s">
        <v>20</v>
      </c>
      <c r="H83" t="s">
        <v>19</v>
      </c>
      <c r="I83">
        <v>30</v>
      </c>
      <c r="J83" t="s">
        <v>19</v>
      </c>
      <c r="K83">
        <v>20</v>
      </c>
      <c r="L83">
        <v>15</v>
      </c>
      <c r="M83">
        <v>50</v>
      </c>
    </row>
    <row r="84" spans="1:13" x14ac:dyDescent="0.3">
      <c r="A84">
        <v>3311</v>
      </c>
      <c r="B84" t="s">
        <v>109</v>
      </c>
      <c r="C84" t="s">
        <v>22</v>
      </c>
      <c r="D84" s="15">
        <v>45428</v>
      </c>
      <c r="E84" t="s">
        <v>19</v>
      </c>
      <c r="F84">
        <v>5</v>
      </c>
      <c r="G84" t="s">
        <v>20</v>
      </c>
      <c r="H84" t="s">
        <v>23</v>
      </c>
      <c r="I84" t="s">
        <v>311</v>
      </c>
      <c r="J84" t="s">
        <v>23</v>
      </c>
      <c r="K84">
        <v>0</v>
      </c>
      <c r="L84">
        <v>1</v>
      </c>
      <c r="M84">
        <v>4</v>
      </c>
    </row>
    <row r="85" spans="1:13" x14ac:dyDescent="0.3">
      <c r="A85">
        <v>3436</v>
      </c>
      <c r="B85" t="s">
        <v>228</v>
      </c>
      <c r="C85" t="s">
        <v>22</v>
      </c>
      <c r="D85" s="15">
        <v>45553</v>
      </c>
      <c r="E85" t="s">
        <v>19</v>
      </c>
      <c r="F85">
        <v>5</v>
      </c>
      <c r="G85" t="s">
        <v>20</v>
      </c>
      <c r="H85" t="s">
        <v>23</v>
      </c>
      <c r="I85" t="s">
        <v>311</v>
      </c>
      <c r="J85" t="s">
        <v>23</v>
      </c>
      <c r="K85">
        <v>0</v>
      </c>
      <c r="L85">
        <v>0</v>
      </c>
      <c r="M85">
        <v>5</v>
      </c>
    </row>
    <row r="86" spans="1:13" x14ac:dyDescent="0.3">
      <c r="A86">
        <v>3313</v>
      </c>
      <c r="B86" t="s">
        <v>111</v>
      </c>
      <c r="C86" t="s">
        <v>26</v>
      </c>
      <c r="D86" s="15">
        <v>45430</v>
      </c>
      <c r="E86" t="s">
        <v>19</v>
      </c>
      <c r="F86">
        <v>10</v>
      </c>
      <c r="G86" t="s">
        <v>20</v>
      </c>
      <c r="H86" t="s">
        <v>23</v>
      </c>
      <c r="I86" t="s">
        <v>311</v>
      </c>
      <c r="J86" t="s">
        <v>19</v>
      </c>
      <c r="K86">
        <v>20</v>
      </c>
      <c r="L86">
        <v>10</v>
      </c>
      <c r="M86">
        <v>20</v>
      </c>
    </row>
    <row r="87" spans="1:13" x14ac:dyDescent="0.3">
      <c r="A87">
        <v>3435</v>
      </c>
      <c r="B87" t="s">
        <v>227</v>
      </c>
      <c r="C87" t="s">
        <v>26</v>
      </c>
      <c r="D87" s="15">
        <v>45552</v>
      </c>
      <c r="E87" t="s">
        <v>23</v>
      </c>
      <c r="F87">
        <v>10</v>
      </c>
      <c r="G87" t="s">
        <v>20</v>
      </c>
      <c r="H87" t="s">
        <v>23</v>
      </c>
      <c r="I87" t="s">
        <v>311</v>
      </c>
      <c r="J87" t="s">
        <v>19</v>
      </c>
      <c r="K87">
        <v>20</v>
      </c>
      <c r="L87">
        <v>10</v>
      </c>
      <c r="M87">
        <v>20</v>
      </c>
    </row>
    <row r="88" spans="1:13" x14ac:dyDescent="0.3">
      <c r="A88">
        <v>3315</v>
      </c>
      <c r="B88" t="s">
        <v>113</v>
      </c>
      <c r="C88" t="s">
        <v>18</v>
      </c>
      <c r="D88" s="15">
        <v>45432</v>
      </c>
      <c r="E88" t="s">
        <v>19</v>
      </c>
      <c r="F88">
        <v>15</v>
      </c>
      <c r="G88" t="s">
        <v>20</v>
      </c>
      <c r="H88" t="s">
        <v>19</v>
      </c>
      <c r="I88">
        <v>30</v>
      </c>
      <c r="J88" t="s">
        <v>19</v>
      </c>
      <c r="K88">
        <v>20</v>
      </c>
      <c r="L88">
        <v>20</v>
      </c>
      <c r="M88">
        <v>45</v>
      </c>
    </row>
    <row r="89" spans="1:13" x14ac:dyDescent="0.3">
      <c r="A89">
        <v>3433</v>
      </c>
      <c r="B89" t="s">
        <v>225</v>
      </c>
      <c r="C89" t="s">
        <v>22</v>
      </c>
      <c r="D89" s="15">
        <v>45550</v>
      </c>
      <c r="E89" t="s">
        <v>23</v>
      </c>
      <c r="F89">
        <v>5</v>
      </c>
      <c r="G89" t="s">
        <v>20</v>
      </c>
      <c r="H89" t="s">
        <v>23</v>
      </c>
      <c r="I89" t="s">
        <v>311</v>
      </c>
      <c r="J89" t="s">
        <v>23</v>
      </c>
      <c r="K89">
        <v>0</v>
      </c>
      <c r="L89">
        <v>1</v>
      </c>
      <c r="M89">
        <v>4</v>
      </c>
    </row>
    <row r="90" spans="1:13" x14ac:dyDescent="0.3">
      <c r="A90">
        <v>3317</v>
      </c>
      <c r="B90" t="s">
        <v>115</v>
      </c>
      <c r="C90" t="s">
        <v>22</v>
      </c>
      <c r="D90" s="15">
        <v>45434</v>
      </c>
      <c r="E90" t="s">
        <v>19</v>
      </c>
      <c r="F90">
        <v>5</v>
      </c>
      <c r="G90" t="s">
        <v>20</v>
      </c>
      <c r="H90" t="s">
        <v>23</v>
      </c>
      <c r="I90" t="s">
        <v>311</v>
      </c>
      <c r="J90" t="s">
        <v>23</v>
      </c>
      <c r="K90">
        <v>0</v>
      </c>
      <c r="L90">
        <v>1</v>
      </c>
      <c r="M90">
        <v>4</v>
      </c>
    </row>
    <row r="91" spans="1:13" x14ac:dyDescent="0.3">
      <c r="A91">
        <v>3431</v>
      </c>
      <c r="B91" t="s">
        <v>223</v>
      </c>
      <c r="C91" t="s">
        <v>18</v>
      </c>
      <c r="D91" s="15">
        <v>45548</v>
      </c>
      <c r="E91" t="s">
        <v>23</v>
      </c>
      <c r="F91">
        <v>15</v>
      </c>
      <c r="G91" t="s">
        <v>20</v>
      </c>
      <c r="H91" t="s">
        <v>19</v>
      </c>
      <c r="I91">
        <v>30</v>
      </c>
      <c r="J91" t="s">
        <v>19</v>
      </c>
      <c r="K91">
        <v>20</v>
      </c>
      <c r="L91">
        <v>15</v>
      </c>
      <c r="M91">
        <v>50</v>
      </c>
    </row>
    <row r="92" spans="1:13" x14ac:dyDescent="0.3">
      <c r="A92">
        <v>3319</v>
      </c>
      <c r="B92" t="s">
        <v>117</v>
      </c>
      <c r="C92" t="s">
        <v>26</v>
      </c>
      <c r="D92" s="15">
        <v>45436</v>
      </c>
      <c r="E92" t="s">
        <v>19</v>
      </c>
      <c r="F92">
        <v>10</v>
      </c>
      <c r="G92" t="s">
        <v>20</v>
      </c>
      <c r="H92" t="s">
        <v>23</v>
      </c>
      <c r="I92" t="s">
        <v>311</v>
      </c>
      <c r="J92" t="s">
        <v>19</v>
      </c>
      <c r="K92">
        <v>20</v>
      </c>
      <c r="L92">
        <v>10</v>
      </c>
      <c r="M92">
        <v>20</v>
      </c>
    </row>
    <row r="93" spans="1:13" x14ac:dyDescent="0.3">
      <c r="A93">
        <v>3429</v>
      </c>
      <c r="B93" t="s">
        <v>221</v>
      </c>
      <c r="C93" t="s">
        <v>26</v>
      </c>
      <c r="D93" s="15">
        <v>45546</v>
      </c>
      <c r="E93" t="s">
        <v>23</v>
      </c>
      <c r="F93">
        <v>10</v>
      </c>
      <c r="G93" t="s">
        <v>20</v>
      </c>
      <c r="H93" t="s">
        <v>23</v>
      </c>
      <c r="I93" t="s">
        <v>311</v>
      </c>
      <c r="J93" t="s">
        <v>19</v>
      </c>
      <c r="K93">
        <v>20</v>
      </c>
      <c r="L93">
        <v>10</v>
      </c>
      <c r="M93">
        <v>20</v>
      </c>
    </row>
    <row r="94" spans="1:13" x14ac:dyDescent="0.3">
      <c r="A94">
        <v>3321</v>
      </c>
      <c r="B94" t="s">
        <v>119</v>
      </c>
      <c r="C94" t="s">
        <v>18</v>
      </c>
      <c r="D94" s="15">
        <v>45438</v>
      </c>
      <c r="E94" t="s">
        <v>19</v>
      </c>
      <c r="F94">
        <v>15</v>
      </c>
      <c r="G94" t="s">
        <v>20</v>
      </c>
      <c r="H94" t="s">
        <v>19</v>
      </c>
      <c r="I94">
        <v>30</v>
      </c>
      <c r="J94" t="s">
        <v>19</v>
      </c>
      <c r="K94">
        <v>20</v>
      </c>
      <c r="L94">
        <v>5</v>
      </c>
      <c r="M94">
        <v>60</v>
      </c>
    </row>
    <row r="95" spans="1:13" x14ac:dyDescent="0.3">
      <c r="A95">
        <v>3427</v>
      </c>
      <c r="B95" t="s">
        <v>219</v>
      </c>
      <c r="C95" t="s">
        <v>22</v>
      </c>
      <c r="D95" s="15">
        <v>45544</v>
      </c>
      <c r="E95" t="s">
        <v>23</v>
      </c>
      <c r="F95">
        <v>5</v>
      </c>
      <c r="G95" t="s">
        <v>20</v>
      </c>
      <c r="H95" t="s">
        <v>23</v>
      </c>
      <c r="I95" t="s">
        <v>311</v>
      </c>
      <c r="J95" t="s">
        <v>23</v>
      </c>
      <c r="K95">
        <v>0</v>
      </c>
      <c r="L95">
        <v>1</v>
      </c>
      <c r="M95">
        <v>4</v>
      </c>
    </row>
    <row r="96" spans="1:13" x14ac:dyDescent="0.3">
      <c r="A96">
        <v>3323</v>
      </c>
      <c r="B96" t="s">
        <v>121</v>
      </c>
      <c r="C96" t="s">
        <v>22</v>
      </c>
      <c r="D96" s="15">
        <v>45440</v>
      </c>
      <c r="E96" t="s">
        <v>19</v>
      </c>
      <c r="F96">
        <v>5</v>
      </c>
      <c r="G96" t="s">
        <v>20</v>
      </c>
      <c r="H96" t="s">
        <v>23</v>
      </c>
      <c r="I96" t="s">
        <v>311</v>
      </c>
      <c r="J96" t="s">
        <v>23</v>
      </c>
      <c r="K96">
        <v>0</v>
      </c>
      <c r="L96">
        <v>1</v>
      </c>
      <c r="M96">
        <v>4</v>
      </c>
    </row>
    <row r="97" spans="1:13" x14ac:dyDescent="0.3">
      <c r="A97">
        <v>3425</v>
      </c>
      <c r="B97" t="s">
        <v>218</v>
      </c>
      <c r="C97" t="s">
        <v>18</v>
      </c>
      <c r="D97" s="15">
        <v>45542</v>
      </c>
      <c r="E97" t="s">
        <v>23</v>
      </c>
      <c r="F97">
        <v>15</v>
      </c>
      <c r="G97" t="s">
        <v>20</v>
      </c>
      <c r="H97" t="s">
        <v>19</v>
      </c>
      <c r="I97">
        <v>30</v>
      </c>
      <c r="J97" t="s">
        <v>19</v>
      </c>
      <c r="K97">
        <v>20</v>
      </c>
      <c r="L97">
        <v>20</v>
      </c>
      <c r="M97">
        <v>45</v>
      </c>
    </row>
    <row r="98" spans="1:13" x14ac:dyDescent="0.3">
      <c r="A98">
        <v>3423</v>
      </c>
      <c r="B98" t="s">
        <v>217</v>
      </c>
      <c r="C98" t="s">
        <v>26</v>
      </c>
      <c r="D98" s="15">
        <v>45540</v>
      </c>
      <c r="E98" t="s">
        <v>23</v>
      </c>
      <c r="F98">
        <v>10</v>
      </c>
      <c r="G98" t="s">
        <v>20</v>
      </c>
      <c r="H98" t="s">
        <v>23</v>
      </c>
      <c r="I98" t="s">
        <v>311</v>
      </c>
      <c r="J98" t="s">
        <v>19</v>
      </c>
      <c r="K98">
        <v>20</v>
      </c>
      <c r="L98">
        <v>10</v>
      </c>
      <c r="M98">
        <v>20</v>
      </c>
    </row>
    <row r="99" spans="1:13" x14ac:dyDescent="0.3">
      <c r="A99">
        <v>3421</v>
      </c>
      <c r="B99" t="s">
        <v>44</v>
      </c>
      <c r="C99" t="s">
        <v>22</v>
      </c>
      <c r="D99" s="15">
        <v>45538</v>
      </c>
      <c r="E99" t="s">
        <v>23</v>
      </c>
      <c r="F99">
        <v>5</v>
      </c>
      <c r="G99" t="s">
        <v>20</v>
      </c>
      <c r="H99" t="s">
        <v>23</v>
      </c>
      <c r="I99" t="s">
        <v>311</v>
      </c>
      <c r="J99" t="s">
        <v>23</v>
      </c>
      <c r="K99">
        <v>0</v>
      </c>
      <c r="L99">
        <v>1</v>
      </c>
      <c r="M99">
        <v>4</v>
      </c>
    </row>
    <row r="100" spans="1:13" x14ac:dyDescent="0.3">
      <c r="A100">
        <v>3327</v>
      </c>
      <c r="B100" t="s">
        <v>125</v>
      </c>
      <c r="C100" t="s">
        <v>18</v>
      </c>
      <c r="D100" s="15">
        <v>45444</v>
      </c>
      <c r="E100" t="s">
        <v>19</v>
      </c>
      <c r="F100">
        <v>15</v>
      </c>
      <c r="G100" t="s">
        <v>20</v>
      </c>
      <c r="H100" t="s">
        <v>19</v>
      </c>
      <c r="I100">
        <v>30</v>
      </c>
      <c r="J100" t="s">
        <v>19</v>
      </c>
      <c r="K100">
        <v>20</v>
      </c>
      <c r="L100">
        <v>7</v>
      </c>
      <c r="M100">
        <v>58</v>
      </c>
    </row>
    <row r="101" spans="1:13" x14ac:dyDescent="0.3">
      <c r="A101">
        <v>3419</v>
      </c>
      <c r="B101" t="s">
        <v>214</v>
      </c>
      <c r="C101" t="s">
        <v>18</v>
      </c>
      <c r="D101" s="15">
        <v>45536</v>
      </c>
      <c r="E101" t="s">
        <v>23</v>
      </c>
      <c r="F101">
        <v>15</v>
      </c>
      <c r="G101" t="s">
        <v>20</v>
      </c>
      <c r="H101" t="s">
        <v>19</v>
      </c>
      <c r="I101">
        <v>30</v>
      </c>
      <c r="J101" t="s">
        <v>19</v>
      </c>
      <c r="K101">
        <v>20</v>
      </c>
      <c r="L101">
        <v>3</v>
      </c>
      <c r="M101">
        <v>62</v>
      </c>
    </row>
    <row r="102" spans="1:13" x14ac:dyDescent="0.3">
      <c r="A102">
        <v>3417</v>
      </c>
      <c r="B102" t="s">
        <v>212</v>
      </c>
      <c r="C102" t="s">
        <v>26</v>
      </c>
      <c r="D102" s="15">
        <v>45534</v>
      </c>
      <c r="E102" t="s">
        <v>23</v>
      </c>
      <c r="F102">
        <v>10</v>
      </c>
      <c r="G102" t="s">
        <v>20</v>
      </c>
      <c r="H102" t="s">
        <v>23</v>
      </c>
      <c r="I102" t="s">
        <v>311</v>
      </c>
      <c r="J102" t="s">
        <v>19</v>
      </c>
      <c r="K102">
        <v>20</v>
      </c>
      <c r="L102">
        <v>10</v>
      </c>
      <c r="M102">
        <v>20</v>
      </c>
    </row>
    <row r="103" spans="1:13" x14ac:dyDescent="0.3">
      <c r="A103">
        <v>3330</v>
      </c>
      <c r="B103" t="s">
        <v>128</v>
      </c>
      <c r="C103" t="s">
        <v>18</v>
      </c>
      <c r="D103" s="15">
        <v>45447</v>
      </c>
      <c r="E103" t="s">
        <v>23</v>
      </c>
      <c r="F103">
        <v>15</v>
      </c>
      <c r="G103" t="s">
        <v>20</v>
      </c>
      <c r="H103" t="s">
        <v>19</v>
      </c>
      <c r="I103">
        <v>30</v>
      </c>
      <c r="J103" t="s">
        <v>19</v>
      </c>
      <c r="K103">
        <v>20</v>
      </c>
      <c r="L103">
        <v>15</v>
      </c>
      <c r="M103">
        <v>50</v>
      </c>
    </row>
    <row r="104" spans="1:13" x14ac:dyDescent="0.3">
      <c r="A104">
        <v>3331</v>
      </c>
      <c r="B104" t="s">
        <v>129</v>
      </c>
      <c r="C104" t="s">
        <v>26</v>
      </c>
      <c r="D104" s="15">
        <v>45448</v>
      </c>
      <c r="E104" t="s">
        <v>19</v>
      </c>
      <c r="F104">
        <v>10</v>
      </c>
      <c r="G104" t="s">
        <v>20</v>
      </c>
      <c r="H104" t="s">
        <v>23</v>
      </c>
      <c r="I104" t="s">
        <v>311</v>
      </c>
      <c r="J104" t="s">
        <v>19</v>
      </c>
      <c r="K104">
        <v>20</v>
      </c>
      <c r="L104">
        <v>5</v>
      </c>
      <c r="M104">
        <v>25</v>
      </c>
    </row>
    <row r="105" spans="1:13" x14ac:dyDescent="0.3">
      <c r="A105">
        <v>3415</v>
      </c>
      <c r="B105" t="s">
        <v>210</v>
      </c>
      <c r="C105" t="s">
        <v>22</v>
      </c>
      <c r="D105" s="15">
        <v>45532</v>
      </c>
      <c r="E105" t="s">
        <v>23</v>
      </c>
      <c r="F105">
        <v>5</v>
      </c>
      <c r="G105" t="s">
        <v>20</v>
      </c>
      <c r="H105" t="s">
        <v>23</v>
      </c>
      <c r="I105" t="s">
        <v>311</v>
      </c>
      <c r="J105" t="s">
        <v>23</v>
      </c>
      <c r="K105">
        <v>0</v>
      </c>
      <c r="L105">
        <v>2</v>
      </c>
      <c r="M105">
        <v>3</v>
      </c>
    </row>
    <row r="106" spans="1:13" x14ac:dyDescent="0.3">
      <c r="A106">
        <v>3411</v>
      </c>
      <c r="B106" t="s">
        <v>206</v>
      </c>
      <c r="C106" t="s">
        <v>26</v>
      </c>
      <c r="D106" s="15">
        <v>45528</v>
      </c>
      <c r="E106" t="s">
        <v>23</v>
      </c>
      <c r="F106">
        <v>10</v>
      </c>
      <c r="G106" t="s">
        <v>20</v>
      </c>
      <c r="H106" t="s">
        <v>23</v>
      </c>
      <c r="I106" t="s">
        <v>311</v>
      </c>
      <c r="J106" t="s">
        <v>19</v>
      </c>
      <c r="K106">
        <v>20</v>
      </c>
      <c r="L106">
        <v>5</v>
      </c>
      <c r="M106">
        <v>25</v>
      </c>
    </row>
    <row r="107" spans="1:13" x14ac:dyDescent="0.3">
      <c r="A107">
        <v>3410</v>
      </c>
      <c r="B107" t="s">
        <v>205</v>
      </c>
      <c r="C107" t="s">
        <v>18</v>
      </c>
      <c r="D107" s="15">
        <v>45527</v>
      </c>
      <c r="E107" t="s">
        <v>19</v>
      </c>
      <c r="F107">
        <v>15</v>
      </c>
      <c r="G107" t="s">
        <v>20</v>
      </c>
      <c r="H107" t="s">
        <v>19</v>
      </c>
      <c r="I107">
        <v>30</v>
      </c>
      <c r="J107" t="s">
        <v>19</v>
      </c>
      <c r="K107">
        <v>20</v>
      </c>
      <c r="L107">
        <v>15</v>
      </c>
      <c r="M107">
        <v>50</v>
      </c>
    </row>
    <row r="108" spans="1:13" x14ac:dyDescent="0.3">
      <c r="A108">
        <v>3335</v>
      </c>
      <c r="B108" t="s">
        <v>133</v>
      </c>
      <c r="C108" t="s">
        <v>22</v>
      </c>
      <c r="D108" s="15">
        <v>45452</v>
      </c>
      <c r="E108" t="s">
        <v>19</v>
      </c>
      <c r="F108">
        <v>5</v>
      </c>
      <c r="G108" t="s">
        <v>20</v>
      </c>
      <c r="H108" t="s">
        <v>23</v>
      </c>
      <c r="I108" t="s">
        <v>311</v>
      </c>
      <c r="J108" t="s">
        <v>23</v>
      </c>
      <c r="K108">
        <v>0</v>
      </c>
      <c r="L108">
        <v>2</v>
      </c>
      <c r="M108">
        <v>3</v>
      </c>
    </row>
    <row r="109" spans="1:13" x14ac:dyDescent="0.3">
      <c r="A109">
        <v>3336</v>
      </c>
      <c r="B109" t="s">
        <v>134</v>
      </c>
      <c r="C109" t="s">
        <v>22</v>
      </c>
      <c r="D109" s="15">
        <v>45453</v>
      </c>
      <c r="E109" t="s">
        <v>19</v>
      </c>
      <c r="F109">
        <v>5</v>
      </c>
      <c r="G109" t="s">
        <v>20</v>
      </c>
      <c r="H109" t="s">
        <v>23</v>
      </c>
      <c r="I109" t="s">
        <v>311</v>
      </c>
      <c r="J109" t="s">
        <v>23</v>
      </c>
      <c r="K109">
        <v>0</v>
      </c>
      <c r="L109">
        <v>0</v>
      </c>
      <c r="M109">
        <v>5</v>
      </c>
    </row>
    <row r="110" spans="1:13" x14ac:dyDescent="0.3">
      <c r="A110">
        <v>3406</v>
      </c>
      <c r="B110" t="s">
        <v>201</v>
      </c>
      <c r="C110" t="s">
        <v>22</v>
      </c>
      <c r="D110" s="15">
        <v>45523</v>
      </c>
      <c r="E110" t="s">
        <v>19</v>
      </c>
      <c r="F110">
        <v>5</v>
      </c>
      <c r="G110" t="s">
        <v>20</v>
      </c>
      <c r="H110" t="s">
        <v>23</v>
      </c>
      <c r="I110" t="s">
        <v>311</v>
      </c>
      <c r="J110" t="s">
        <v>23</v>
      </c>
      <c r="K110">
        <v>0</v>
      </c>
      <c r="L110">
        <v>0</v>
      </c>
      <c r="M110">
        <v>5</v>
      </c>
    </row>
    <row r="111" spans="1:13" x14ac:dyDescent="0.3">
      <c r="A111">
        <v>3405</v>
      </c>
      <c r="B111" t="s">
        <v>200</v>
      </c>
      <c r="C111" t="s">
        <v>22</v>
      </c>
      <c r="D111" s="15">
        <v>45522</v>
      </c>
      <c r="E111" t="s">
        <v>23</v>
      </c>
      <c r="F111">
        <v>5</v>
      </c>
      <c r="G111" t="s">
        <v>20</v>
      </c>
      <c r="H111" t="s">
        <v>23</v>
      </c>
      <c r="I111" t="s">
        <v>311</v>
      </c>
      <c r="J111" t="s">
        <v>23</v>
      </c>
      <c r="K111">
        <v>0</v>
      </c>
      <c r="L111">
        <v>1</v>
      </c>
      <c r="M111">
        <v>4</v>
      </c>
    </row>
    <row r="112" spans="1:13" x14ac:dyDescent="0.3">
      <c r="A112">
        <v>3403</v>
      </c>
      <c r="B112" t="s">
        <v>198</v>
      </c>
      <c r="C112" t="s">
        <v>18</v>
      </c>
      <c r="D112" s="15">
        <v>45520</v>
      </c>
      <c r="E112" t="s">
        <v>23</v>
      </c>
      <c r="F112">
        <v>15</v>
      </c>
      <c r="G112" t="s">
        <v>20</v>
      </c>
      <c r="H112" t="s">
        <v>19</v>
      </c>
      <c r="I112">
        <v>30</v>
      </c>
      <c r="J112" t="s">
        <v>19</v>
      </c>
      <c r="K112">
        <v>20</v>
      </c>
      <c r="L112">
        <v>3</v>
      </c>
      <c r="M112">
        <v>62</v>
      </c>
    </row>
    <row r="113" spans="1:13" x14ac:dyDescent="0.3">
      <c r="A113">
        <v>3340</v>
      </c>
      <c r="B113" t="s">
        <v>138</v>
      </c>
      <c r="C113" t="s">
        <v>18</v>
      </c>
      <c r="D113" s="15">
        <v>45457</v>
      </c>
      <c r="E113" t="s">
        <v>19</v>
      </c>
      <c r="F113">
        <v>15</v>
      </c>
      <c r="G113" t="s">
        <v>20</v>
      </c>
      <c r="H113" t="s">
        <v>19</v>
      </c>
      <c r="I113">
        <v>30</v>
      </c>
      <c r="J113" t="s">
        <v>19</v>
      </c>
      <c r="K113">
        <v>20</v>
      </c>
      <c r="L113">
        <v>15</v>
      </c>
      <c r="M113">
        <v>50</v>
      </c>
    </row>
    <row r="114" spans="1:13" x14ac:dyDescent="0.3">
      <c r="A114">
        <v>3341</v>
      </c>
      <c r="B114" t="s">
        <v>139</v>
      </c>
      <c r="C114" t="s">
        <v>26</v>
      </c>
      <c r="D114" s="15">
        <v>45458</v>
      </c>
      <c r="E114" t="s">
        <v>23</v>
      </c>
      <c r="F114">
        <v>10</v>
      </c>
      <c r="G114" t="s">
        <v>20</v>
      </c>
      <c r="H114" t="s">
        <v>23</v>
      </c>
      <c r="I114" t="s">
        <v>311</v>
      </c>
      <c r="J114" t="s">
        <v>19</v>
      </c>
      <c r="K114">
        <v>20</v>
      </c>
      <c r="L114">
        <v>5</v>
      </c>
      <c r="M114">
        <v>25</v>
      </c>
    </row>
    <row r="115" spans="1:13" x14ac:dyDescent="0.3">
      <c r="A115">
        <v>3401</v>
      </c>
      <c r="B115" t="s">
        <v>196</v>
      </c>
      <c r="C115" t="s">
        <v>26</v>
      </c>
      <c r="D115" s="15">
        <v>45518</v>
      </c>
      <c r="E115" t="s">
        <v>23</v>
      </c>
      <c r="F115">
        <v>10</v>
      </c>
      <c r="G115" t="s">
        <v>20</v>
      </c>
      <c r="H115" t="s">
        <v>23</v>
      </c>
      <c r="I115" t="s">
        <v>311</v>
      </c>
      <c r="J115" t="s">
        <v>19</v>
      </c>
      <c r="K115">
        <v>20</v>
      </c>
      <c r="L115">
        <v>10</v>
      </c>
      <c r="M115">
        <v>20</v>
      </c>
    </row>
    <row r="116" spans="1:13" x14ac:dyDescent="0.3">
      <c r="A116">
        <v>3399</v>
      </c>
      <c r="B116" t="s">
        <v>194</v>
      </c>
      <c r="C116" t="s">
        <v>22</v>
      </c>
      <c r="D116" s="15">
        <v>45516</v>
      </c>
      <c r="E116" t="s">
        <v>23</v>
      </c>
      <c r="F116">
        <v>5</v>
      </c>
      <c r="G116" t="s">
        <v>20</v>
      </c>
      <c r="H116" t="s">
        <v>23</v>
      </c>
      <c r="I116" t="s">
        <v>311</v>
      </c>
      <c r="J116" t="s">
        <v>23</v>
      </c>
      <c r="K116">
        <v>0</v>
      </c>
      <c r="L116">
        <v>1</v>
      </c>
      <c r="M116">
        <v>4</v>
      </c>
    </row>
    <row r="117" spans="1:13" x14ac:dyDescent="0.3">
      <c r="A117">
        <v>3397</v>
      </c>
      <c r="B117" t="s">
        <v>119</v>
      </c>
      <c r="C117" t="s">
        <v>18</v>
      </c>
      <c r="D117" s="15">
        <v>45514</v>
      </c>
      <c r="E117" t="s">
        <v>23</v>
      </c>
      <c r="F117">
        <v>15</v>
      </c>
      <c r="G117" t="s">
        <v>20</v>
      </c>
      <c r="H117" t="s">
        <v>19</v>
      </c>
      <c r="I117">
        <v>30</v>
      </c>
      <c r="J117" t="s">
        <v>19</v>
      </c>
      <c r="K117">
        <v>20</v>
      </c>
      <c r="L117">
        <v>20</v>
      </c>
      <c r="M117">
        <v>45</v>
      </c>
    </row>
    <row r="118" spans="1:13" x14ac:dyDescent="0.3">
      <c r="A118">
        <v>3345</v>
      </c>
      <c r="B118" t="s">
        <v>143</v>
      </c>
      <c r="C118" t="s">
        <v>22</v>
      </c>
      <c r="D118" s="15">
        <v>45462</v>
      </c>
      <c r="E118" t="s">
        <v>23</v>
      </c>
      <c r="F118">
        <v>5</v>
      </c>
      <c r="G118" t="s">
        <v>20</v>
      </c>
      <c r="H118" t="s">
        <v>23</v>
      </c>
      <c r="I118" t="s">
        <v>311</v>
      </c>
      <c r="J118" t="s">
        <v>23</v>
      </c>
      <c r="K118">
        <v>0</v>
      </c>
      <c r="L118">
        <v>2</v>
      </c>
      <c r="M118">
        <v>3</v>
      </c>
    </row>
    <row r="119" spans="1:13" x14ac:dyDescent="0.3">
      <c r="A119">
        <v>3395</v>
      </c>
      <c r="B119" t="s">
        <v>191</v>
      </c>
      <c r="C119" t="s">
        <v>26</v>
      </c>
      <c r="D119" s="15">
        <v>45512</v>
      </c>
      <c r="E119" t="s">
        <v>23</v>
      </c>
      <c r="F119">
        <v>10</v>
      </c>
      <c r="G119" t="s">
        <v>20</v>
      </c>
      <c r="H119" t="s">
        <v>23</v>
      </c>
      <c r="I119" t="s">
        <v>311</v>
      </c>
      <c r="J119" t="s">
        <v>19</v>
      </c>
      <c r="K119">
        <v>20</v>
      </c>
      <c r="L119">
        <v>10</v>
      </c>
      <c r="M119">
        <v>20</v>
      </c>
    </row>
    <row r="120" spans="1:13" x14ac:dyDescent="0.3">
      <c r="A120">
        <v>3347</v>
      </c>
      <c r="B120" t="s">
        <v>145</v>
      </c>
      <c r="C120" t="s">
        <v>26</v>
      </c>
      <c r="D120" s="15">
        <v>45464</v>
      </c>
      <c r="E120" t="s">
        <v>23</v>
      </c>
      <c r="F120">
        <v>10</v>
      </c>
      <c r="G120" t="s">
        <v>20</v>
      </c>
      <c r="H120" t="s">
        <v>23</v>
      </c>
      <c r="I120" t="s">
        <v>311</v>
      </c>
      <c r="J120" t="s">
        <v>19</v>
      </c>
      <c r="K120">
        <v>20</v>
      </c>
      <c r="L120">
        <v>10</v>
      </c>
      <c r="M120">
        <v>20</v>
      </c>
    </row>
    <row r="121" spans="1:13" x14ac:dyDescent="0.3">
      <c r="A121">
        <v>3393</v>
      </c>
      <c r="B121" t="s">
        <v>189</v>
      </c>
      <c r="C121" t="s">
        <v>22</v>
      </c>
      <c r="D121" s="15">
        <v>45510</v>
      </c>
      <c r="E121" t="s">
        <v>23</v>
      </c>
      <c r="F121">
        <v>5</v>
      </c>
      <c r="G121" t="s">
        <v>20</v>
      </c>
      <c r="H121" t="s">
        <v>23</v>
      </c>
      <c r="I121" t="s">
        <v>311</v>
      </c>
      <c r="J121" t="s">
        <v>23</v>
      </c>
      <c r="K121">
        <v>0</v>
      </c>
      <c r="L121">
        <v>1</v>
      </c>
      <c r="M121">
        <v>4</v>
      </c>
    </row>
    <row r="122" spans="1:13" x14ac:dyDescent="0.3">
      <c r="A122">
        <v>3349</v>
      </c>
      <c r="B122" t="s">
        <v>122</v>
      </c>
      <c r="C122" t="s">
        <v>18</v>
      </c>
      <c r="D122" s="15">
        <v>45466</v>
      </c>
      <c r="E122" t="s">
        <v>23</v>
      </c>
      <c r="F122">
        <v>15</v>
      </c>
      <c r="G122" t="s">
        <v>20</v>
      </c>
      <c r="H122" t="s">
        <v>19</v>
      </c>
      <c r="I122">
        <v>30</v>
      </c>
      <c r="J122" t="s">
        <v>19</v>
      </c>
      <c r="K122">
        <v>20</v>
      </c>
      <c r="L122">
        <v>3</v>
      </c>
      <c r="M122">
        <v>62</v>
      </c>
    </row>
    <row r="123" spans="1:13" x14ac:dyDescent="0.3">
      <c r="A123">
        <v>3391</v>
      </c>
      <c r="B123" t="s">
        <v>87</v>
      </c>
      <c r="C123" t="s">
        <v>18</v>
      </c>
      <c r="D123" s="15">
        <v>45508</v>
      </c>
      <c r="E123" t="s">
        <v>23</v>
      </c>
      <c r="F123">
        <v>15</v>
      </c>
      <c r="G123" t="s">
        <v>20</v>
      </c>
      <c r="H123" t="s">
        <v>19</v>
      </c>
      <c r="I123">
        <v>30</v>
      </c>
      <c r="J123" t="s">
        <v>19</v>
      </c>
      <c r="K123">
        <v>20</v>
      </c>
      <c r="L123">
        <v>15</v>
      </c>
      <c r="M123">
        <v>50</v>
      </c>
    </row>
    <row r="124" spans="1:13" x14ac:dyDescent="0.3">
      <c r="A124">
        <v>3351</v>
      </c>
      <c r="B124" t="s">
        <v>148</v>
      </c>
      <c r="C124" t="s">
        <v>22</v>
      </c>
      <c r="D124" s="15">
        <v>45468</v>
      </c>
      <c r="E124" t="s">
        <v>23</v>
      </c>
      <c r="F124">
        <v>5</v>
      </c>
      <c r="G124" t="s">
        <v>20</v>
      </c>
      <c r="H124" t="s">
        <v>23</v>
      </c>
      <c r="I124" t="s">
        <v>311</v>
      </c>
      <c r="J124" t="s">
        <v>23</v>
      </c>
      <c r="K124">
        <v>0</v>
      </c>
      <c r="L124">
        <v>1</v>
      </c>
      <c r="M124">
        <v>4</v>
      </c>
    </row>
    <row r="125" spans="1:13" x14ac:dyDescent="0.3">
      <c r="A125">
        <v>3389</v>
      </c>
      <c r="B125" t="s">
        <v>186</v>
      </c>
      <c r="C125" t="s">
        <v>26</v>
      </c>
      <c r="D125" s="15">
        <v>45506</v>
      </c>
      <c r="E125" t="s">
        <v>23</v>
      </c>
      <c r="F125">
        <v>10</v>
      </c>
      <c r="G125" t="s">
        <v>20</v>
      </c>
      <c r="H125" t="s">
        <v>23</v>
      </c>
      <c r="I125" t="s">
        <v>311</v>
      </c>
      <c r="J125" t="s">
        <v>19</v>
      </c>
      <c r="K125">
        <v>20</v>
      </c>
      <c r="L125">
        <v>10</v>
      </c>
      <c r="M125">
        <v>20</v>
      </c>
    </row>
    <row r="126" spans="1:13" x14ac:dyDescent="0.3">
      <c r="A126">
        <v>3353</v>
      </c>
      <c r="B126" t="s">
        <v>150</v>
      </c>
      <c r="C126" t="s">
        <v>26</v>
      </c>
      <c r="D126" s="15">
        <v>45470</v>
      </c>
      <c r="E126" t="s">
        <v>23</v>
      </c>
      <c r="F126">
        <v>10</v>
      </c>
      <c r="G126" t="s">
        <v>20</v>
      </c>
      <c r="H126" t="s">
        <v>23</v>
      </c>
      <c r="I126" t="s">
        <v>311</v>
      </c>
      <c r="J126" t="s">
        <v>19</v>
      </c>
      <c r="K126">
        <v>20</v>
      </c>
      <c r="L126">
        <v>10</v>
      </c>
      <c r="M126">
        <v>20</v>
      </c>
    </row>
    <row r="127" spans="1:13" x14ac:dyDescent="0.3">
      <c r="A127">
        <v>3387</v>
      </c>
      <c r="B127" t="s">
        <v>184</v>
      </c>
      <c r="C127" t="s">
        <v>22</v>
      </c>
      <c r="D127" s="15">
        <v>45504</v>
      </c>
      <c r="E127" t="s">
        <v>23</v>
      </c>
      <c r="F127">
        <v>5</v>
      </c>
      <c r="G127" t="s">
        <v>20</v>
      </c>
      <c r="H127" t="s">
        <v>23</v>
      </c>
      <c r="I127" t="s">
        <v>311</v>
      </c>
      <c r="J127" t="s">
        <v>23</v>
      </c>
      <c r="K127">
        <v>0</v>
      </c>
      <c r="L127">
        <v>1</v>
      </c>
      <c r="M127">
        <v>4</v>
      </c>
    </row>
    <row r="128" spans="1:13" x14ac:dyDescent="0.3">
      <c r="A128">
        <v>3355</v>
      </c>
      <c r="B128" t="s">
        <v>152</v>
      </c>
      <c r="C128" t="s">
        <v>18</v>
      </c>
      <c r="D128" s="15">
        <v>45472</v>
      </c>
      <c r="E128" t="s">
        <v>23</v>
      </c>
      <c r="F128">
        <v>15</v>
      </c>
      <c r="G128" t="s">
        <v>20</v>
      </c>
      <c r="H128" t="s">
        <v>19</v>
      </c>
      <c r="I128">
        <v>30</v>
      </c>
      <c r="J128" t="s">
        <v>19</v>
      </c>
      <c r="K128">
        <v>20</v>
      </c>
      <c r="L128">
        <v>20</v>
      </c>
      <c r="M128">
        <v>45</v>
      </c>
    </row>
    <row r="129" spans="1:13" x14ac:dyDescent="0.3">
      <c r="A129">
        <v>3385</v>
      </c>
      <c r="B129" t="s">
        <v>182</v>
      </c>
      <c r="C129" t="s">
        <v>18</v>
      </c>
      <c r="D129" s="15">
        <v>45502</v>
      </c>
      <c r="E129" t="s">
        <v>23</v>
      </c>
      <c r="F129">
        <v>15</v>
      </c>
      <c r="G129" t="s">
        <v>20</v>
      </c>
      <c r="H129" t="s">
        <v>19</v>
      </c>
      <c r="I129">
        <v>30</v>
      </c>
      <c r="J129" t="s">
        <v>19</v>
      </c>
      <c r="K129">
        <v>20</v>
      </c>
      <c r="L129">
        <v>20</v>
      </c>
      <c r="M129">
        <v>45</v>
      </c>
    </row>
    <row r="130" spans="1:13" x14ac:dyDescent="0.3">
      <c r="A130">
        <v>3357</v>
      </c>
      <c r="B130" t="s">
        <v>154</v>
      </c>
      <c r="C130" t="s">
        <v>22</v>
      </c>
      <c r="D130" s="15">
        <v>45474</v>
      </c>
      <c r="E130" t="s">
        <v>23</v>
      </c>
      <c r="F130">
        <v>5</v>
      </c>
      <c r="G130" t="s">
        <v>20</v>
      </c>
      <c r="H130" t="s">
        <v>23</v>
      </c>
      <c r="I130" t="s">
        <v>311</v>
      </c>
      <c r="J130" t="s">
        <v>23</v>
      </c>
      <c r="K130">
        <v>0</v>
      </c>
      <c r="L130">
        <v>1</v>
      </c>
      <c r="M130">
        <v>4</v>
      </c>
    </row>
    <row r="131" spans="1:13" x14ac:dyDescent="0.3">
      <c r="A131">
        <v>3383</v>
      </c>
      <c r="B131" t="s">
        <v>180</v>
      </c>
      <c r="C131" t="s">
        <v>26</v>
      </c>
      <c r="D131" s="15">
        <v>45500</v>
      </c>
      <c r="E131" t="s">
        <v>23</v>
      </c>
      <c r="F131">
        <v>10</v>
      </c>
      <c r="G131" t="s">
        <v>20</v>
      </c>
      <c r="H131" t="s">
        <v>23</v>
      </c>
      <c r="I131" t="s">
        <v>311</v>
      </c>
      <c r="J131" t="s">
        <v>19</v>
      </c>
      <c r="K131">
        <v>20</v>
      </c>
      <c r="L131">
        <v>10</v>
      </c>
      <c r="M131">
        <v>20</v>
      </c>
    </row>
    <row r="132" spans="1:13" x14ac:dyDescent="0.3">
      <c r="A132">
        <v>3359</v>
      </c>
      <c r="B132" t="s">
        <v>156</v>
      </c>
      <c r="C132" t="s">
        <v>26</v>
      </c>
      <c r="D132" s="15">
        <v>45476</v>
      </c>
      <c r="E132" t="s">
        <v>23</v>
      </c>
      <c r="F132">
        <v>10</v>
      </c>
      <c r="G132" t="s">
        <v>20</v>
      </c>
      <c r="H132" t="s">
        <v>23</v>
      </c>
      <c r="I132" t="s">
        <v>311</v>
      </c>
      <c r="J132" t="s">
        <v>19</v>
      </c>
      <c r="K132">
        <v>20</v>
      </c>
      <c r="L132">
        <v>10</v>
      </c>
      <c r="M132">
        <v>20</v>
      </c>
    </row>
    <row r="133" spans="1:13" x14ac:dyDescent="0.3">
      <c r="A133">
        <v>3381</v>
      </c>
      <c r="B133" t="s">
        <v>178</v>
      </c>
      <c r="C133" t="s">
        <v>22</v>
      </c>
      <c r="D133" s="15">
        <v>45498</v>
      </c>
      <c r="E133" t="s">
        <v>23</v>
      </c>
      <c r="F133">
        <v>5</v>
      </c>
      <c r="G133" t="s">
        <v>20</v>
      </c>
      <c r="H133" t="s">
        <v>23</v>
      </c>
      <c r="I133" t="s">
        <v>311</v>
      </c>
      <c r="J133" t="s">
        <v>23</v>
      </c>
      <c r="K133">
        <v>0</v>
      </c>
      <c r="L133">
        <v>1</v>
      </c>
      <c r="M133">
        <v>4</v>
      </c>
    </row>
    <row r="134" spans="1:13" x14ac:dyDescent="0.3">
      <c r="A134">
        <v>3361</v>
      </c>
      <c r="B134" t="s">
        <v>158</v>
      </c>
      <c r="C134" t="s">
        <v>18</v>
      </c>
      <c r="D134" s="15">
        <v>45478</v>
      </c>
      <c r="E134" t="s">
        <v>23</v>
      </c>
      <c r="F134">
        <v>15</v>
      </c>
      <c r="G134" t="s">
        <v>20</v>
      </c>
      <c r="H134" t="s">
        <v>19</v>
      </c>
      <c r="I134">
        <v>30</v>
      </c>
      <c r="J134" t="s">
        <v>19</v>
      </c>
      <c r="K134">
        <v>20</v>
      </c>
      <c r="L134">
        <v>15</v>
      </c>
      <c r="M134">
        <v>50</v>
      </c>
    </row>
    <row r="135" spans="1:13" x14ac:dyDescent="0.3">
      <c r="A135">
        <v>3379</v>
      </c>
      <c r="B135" t="s">
        <v>176</v>
      </c>
      <c r="C135" t="s">
        <v>18</v>
      </c>
      <c r="D135" s="15">
        <v>45496</v>
      </c>
      <c r="E135" t="s">
        <v>23</v>
      </c>
      <c r="F135">
        <v>15</v>
      </c>
      <c r="G135" t="s">
        <v>20</v>
      </c>
      <c r="H135" t="s">
        <v>19</v>
      </c>
      <c r="I135">
        <v>30</v>
      </c>
      <c r="J135" t="s">
        <v>19</v>
      </c>
      <c r="K135">
        <v>20</v>
      </c>
      <c r="L135">
        <v>3</v>
      </c>
      <c r="M135">
        <v>62</v>
      </c>
    </row>
    <row r="136" spans="1:13" x14ac:dyDescent="0.3">
      <c r="A136">
        <v>3363</v>
      </c>
      <c r="B136" t="s">
        <v>160</v>
      </c>
      <c r="C136" t="s">
        <v>22</v>
      </c>
      <c r="D136" s="15">
        <v>45480</v>
      </c>
      <c r="E136" t="s">
        <v>23</v>
      </c>
      <c r="F136">
        <v>5</v>
      </c>
      <c r="G136" t="s">
        <v>20</v>
      </c>
      <c r="H136" t="s">
        <v>23</v>
      </c>
      <c r="I136" t="s">
        <v>311</v>
      </c>
      <c r="J136" t="s">
        <v>23</v>
      </c>
      <c r="K136">
        <v>0</v>
      </c>
      <c r="L136">
        <v>1</v>
      </c>
      <c r="M136">
        <v>4</v>
      </c>
    </row>
    <row r="137" spans="1:13" x14ac:dyDescent="0.3">
      <c r="A137">
        <v>3377</v>
      </c>
      <c r="B137" t="s">
        <v>174</v>
      </c>
      <c r="C137" t="s">
        <v>26</v>
      </c>
      <c r="D137" s="15">
        <v>45494</v>
      </c>
      <c r="E137" t="s">
        <v>23</v>
      </c>
      <c r="F137">
        <v>10</v>
      </c>
      <c r="G137" t="s">
        <v>20</v>
      </c>
      <c r="H137" t="s">
        <v>23</v>
      </c>
      <c r="I137" t="s">
        <v>311</v>
      </c>
      <c r="J137" t="s">
        <v>19</v>
      </c>
      <c r="K137">
        <v>20</v>
      </c>
      <c r="L137">
        <v>10</v>
      </c>
      <c r="M137">
        <v>20</v>
      </c>
    </row>
    <row r="138" spans="1:13" x14ac:dyDescent="0.3">
      <c r="A138">
        <v>3365</v>
      </c>
      <c r="B138" t="s">
        <v>162</v>
      </c>
      <c r="C138" t="s">
        <v>26</v>
      </c>
      <c r="D138" s="15">
        <v>45482</v>
      </c>
      <c r="E138" t="s">
        <v>23</v>
      </c>
      <c r="F138">
        <v>10</v>
      </c>
      <c r="G138" t="s">
        <v>20</v>
      </c>
      <c r="H138" t="s">
        <v>23</v>
      </c>
      <c r="I138" t="s">
        <v>311</v>
      </c>
      <c r="J138" t="s">
        <v>19</v>
      </c>
      <c r="K138">
        <v>20</v>
      </c>
      <c r="L138">
        <v>10</v>
      </c>
      <c r="M138">
        <v>20</v>
      </c>
    </row>
    <row r="139" spans="1:13" x14ac:dyDescent="0.3">
      <c r="A139">
        <v>3366</v>
      </c>
      <c r="B139" t="s">
        <v>163</v>
      </c>
      <c r="C139" t="s">
        <v>22</v>
      </c>
      <c r="D139" s="15">
        <v>45483</v>
      </c>
      <c r="E139" t="s">
        <v>19</v>
      </c>
      <c r="F139">
        <v>5</v>
      </c>
      <c r="G139" t="s">
        <v>20</v>
      </c>
      <c r="H139" t="s">
        <v>23</v>
      </c>
      <c r="I139" t="s">
        <v>311</v>
      </c>
      <c r="J139" t="s">
        <v>23</v>
      </c>
      <c r="K139">
        <v>0</v>
      </c>
      <c r="L139">
        <v>0</v>
      </c>
      <c r="M139">
        <v>5</v>
      </c>
    </row>
    <row r="140" spans="1:13" x14ac:dyDescent="0.3">
      <c r="A140">
        <v>3375</v>
      </c>
      <c r="B140" t="s">
        <v>172</v>
      </c>
      <c r="C140" t="s">
        <v>22</v>
      </c>
      <c r="D140" s="15">
        <v>45492</v>
      </c>
      <c r="E140" t="s">
        <v>23</v>
      </c>
      <c r="F140">
        <v>5</v>
      </c>
      <c r="G140" t="s">
        <v>20</v>
      </c>
      <c r="H140" t="s">
        <v>23</v>
      </c>
      <c r="I140" t="s">
        <v>311</v>
      </c>
      <c r="J140" t="s">
        <v>23</v>
      </c>
      <c r="K140">
        <v>0</v>
      </c>
      <c r="L140">
        <v>2</v>
      </c>
      <c r="M140">
        <v>3</v>
      </c>
    </row>
    <row r="141" spans="1:13" x14ac:dyDescent="0.3">
      <c r="A141">
        <v>3371</v>
      </c>
      <c r="B141" t="s">
        <v>168</v>
      </c>
      <c r="C141" t="s">
        <v>26</v>
      </c>
      <c r="D141" s="15">
        <v>45488</v>
      </c>
      <c r="E141" t="s">
        <v>23</v>
      </c>
      <c r="F141">
        <v>10</v>
      </c>
      <c r="G141" t="s">
        <v>20</v>
      </c>
      <c r="H141" t="s">
        <v>23</v>
      </c>
      <c r="I141" t="s">
        <v>311</v>
      </c>
      <c r="J141" t="s">
        <v>19</v>
      </c>
      <c r="K141">
        <v>20</v>
      </c>
      <c r="L141">
        <v>5</v>
      </c>
      <c r="M141">
        <v>25</v>
      </c>
    </row>
    <row r="142" spans="1:13" x14ac:dyDescent="0.3">
      <c r="A142">
        <v>3370</v>
      </c>
      <c r="B142" t="s">
        <v>167</v>
      </c>
      <c r="C142" t="s">
        <v>18</v>
      </c>
      <c r="D142" s="15">
        <v>45487</v>
      </c>
      <c r="E142" t="s">
        <v>19</v>
      </c>
      <c r="F142">
        <v>15</v>
      </c>
      <c r="G142" t="s">
        <v>20</v>
      </c>
      <c r="H142" t="s">
        <v>19</v>
      </c>
      <c r="I142">
        <v>30</v>
      </c>
      <c r="J142" t="s">
        <v>19</v>
      </c>
      <c r="K142">
        <v>20</v>
      </c>
      <c r="L142">
        <v>15</v>
      </c>
      <c r="M142">
        <v>50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1:E29"/>
  <sheetViews>
    <sheetView showGridLines="0" workbookViewId="0">
      <selection activeCell="E29" sqref="E29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21.5546875" bestFit="1" customWidth="1"/>
    <col min="5" max="5" width="10.33203125" bestFit="1" customWidth="1"/>
    <col min="6" max="17" width="9.44140625" bestFit="1" customWidth="1"/>
    <col min="18" max="18" width="11.77734375" bestFit="1" customWidth="1"/>
  </cols>
  <sheetData>
    <row r="1" spans="2:3" x14ac:dyDescent="0.3">
      <c r="B1" t="s">
        <v>317</v>
      </c>
    </row>
    <row r="3" spans="2:3" x14ac:dyDescent="0.3">
      <c r="B3" t="s">
        <v>319</v>
      </c>
    </row>
    <row r="4" spans="2:3" x14ac:dyDescent="0.3">
      <c r="B4" t="s">
        <v>318</v>
      </c>
    </row>
    <row r="6" spans="2:3" x14ac:dyDescent="0.3">
      <c r="B6" s="12" t="s">
        <v>16</v>
      </c>
      <c r="C6" t="s">
        <v>316</v>
      </c>
    </row>
    <row r="8" spans="2:3" x14ac:dyDescent="0.3">
      <c r="B8" s="12" t="s">
        <v>313</v>
      </c>
      <c r="C8" t="s">
        <v>315</v>
      </c>
    </row>
    <row r="9" spans="2:3" x14ac:dyDescent="0.3">
      <c r="B9" s="13" t="s">
        <v>23</v>
      </c>
      <c r="C9" s="14">
        <v>3847</v>
      </c>
    </row>
    <row r="10" spans="2:3" x14ac:dyDescent="0.3">
      <c r="B10" s="13" t="s">
        <v>19</v>
      </c>
      <c r="C10" s="14">
        <v>3786</v>
      </c>
    </row>
    <row r="11" spans="2:3" x14ac:dyDescent="0.3">
      <c r="B11" s="13" t="s">
        <v>314</v>
      </c>
      <c r="C11" s="14">
        <v>7633</v>
      </c>
    </row>
    <row r="14" spans="2:3" x14ac:dyDescent="0.3">
      <c r="B14" s="12" t="s">
        <v>16</v>
      </c>
      <c r="C14" t="s">
        <v>316</v>
      </c>
    </row>
    <row r="16" spans="2:3" x14ac:dyDescent="0.3">
      <c r="B16" s="12" t="s">
        <v>313</v>
      </c>
      <c r="C16" t="s">
        <v>322</v>
      </c>
    </row>
    <row r="17" spans="2:5" x14ac:dyDescent="0.3">
      <c r="B17" s="13" t="s">
        <v>22</v>
      </c>
      <c r="C17" s="21">
        <v>0</v>
      </c>
    </row>
    <row r="18" spans="2:5" x14ac:dyDescent="0.3">
      <c r="B18" s="13" t="s">
        <v>26</v>
      </c>
      <c r="C18" s="21">
        <v>0</v>
      </c>
    </row>
    <row r="19" spans="2:5" x14ac:dyDescent="0.3">
      <c r="B19" s="13" t="s">
        <v>18</v>
      </c>
      <c r="C19" s="21">
        <v>2940</v>
      </c>
    </row>
    <row r="20" spans="2:5" x14ac:dyDescent="0.3">
      <c r="B20" s="13" t="s">
        <v>314</v>
      </c>
      <c r="C20" s="21">
        <v>2940</v>
      </c>
      <c r="E20" s="22">
        <f>GETPIVOTDATA("EA Play Season Pass
Price",$B$16)</f>
        <v>2940</v>
      </c>
    </row>
    <row r="23" spans="2:5" x14ac:dyDescent="0.3">
      <c r="B23" s="12" t="s">
        <v>16</v>
      </c>
      <c r="C23" t="s">
        <v>316</v>
      </c>
    </row>
    <row r="25" spans="2:5" x14ac:dyDescent="0.3">
      <c r="B25" s="12" t="s">
        <v>313</v>
      </c>
      <c r="C25" t="s">
        <v>323</v>
      </c>
    </row>
    <row r="26" spans="2:5" x14ac:dyDescent="0.3">
      <c r="B26" s="13" t="s">
        <v>22</v>
      </c>
      <c r="C26" s="14">
        <v>0</v>
      </c>
    </row>
    <row r="27" spans="2:5" x14ac:dyDescent="0.3">
      <c r="B27" s="13" t="s">
        <v>26</v>
      </c>
      <c r="C27" s="14">
        <v>1920</v>
      </c>
    </row>
    <row r="28" spans="2:5" x14ac:dyDescent="0.3">
      <c r="B28" s="13" t="s">
        <v>18</v>
      </c>
      <c r="C28" s="14">
        <v>1960</v>
      </c>
    </row>
    <row r="29" spans="2:5" x14ac:dyDescent="0.3">
      <c r="B29" s="13" t="s">
        <v>314</v>
      </c>
      <c r="C29" s="14">
        <v>3880</v>
      </c>
      <c r="E29" s="22">
        <f>GETPIVOTDATA("Minecraft Season Pass Price",$B$25)</f>
        <v>3880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Q101"/>
  <sheetViews>
    <sheetView showGridLines="0" showRowColHeaders="0" tabSelected="1" zoomScale="80" zoomScaleNormal="80" workbookViewId="0">
      <selection activeCell="K9" sqref="K9"/>
    </sheetView>
  </sheetViews>
  <sheetFormatPr defaultRowHeight="14.4" x14ac:dyDescent="0.3"/>
  <cols>
    <col min="1" max="1" width="26.5546875" style="4" customWidth="1"/>
    <col min="2" max="2" width="3.5546875" customWidth="1"/>
    <col min="12" max="12" width="6.5546875" customWidth="1"/>
  </cols>
  <sheetData>
    <row r="1" spans="1:17" ht="33" customHeight="1" x14ac:dyDescent="0.3"/>
    <row r="2" spans="1:17" ht="21" customHeight="1" thickBot="1" x14ac:dyDescent="0.6">
      <c r="C2" s="18" t="s">
        <v>321</v>
      </c>
      <c r="D2" s="18"/>
      <c r="E2" s="18"/>
      <c r="F2" s="18"/>
      <c r="G2" s="18"/>
      <c r="H2" s="18"/>
      <c r="I2" s="18"/>
      <c r="J2" s="19"/>
      <c r="K2" s="19"/>
      <c r="L2" s="19"/>
      <c r="M2" s="19"/>
      <c r="N2" s="19"/>
      <c r="O2" s="20"/>
      <c r="P2" s="20"/>
      <c r="Q2" s="20"/>
    </row>
    <row r="3" spans="1:17" ht="30.6" customHeight="1" thickTop="1" x14ac:dyDescent="0.4">
      <c r="C3" s="17"/>
    </row>
    <row r="4" spans="1:17" s="7" customFormat="1" ht="8.25" customHeight="1" x14ac:dyDescent="0.3">
      <c r="A4" s="4"/>
    </row>
    <row r="5" spans="1:17" s="7" customFormat="1" ht="7.5" customHeight="1" x14ac:dyDescent="0.3">
      <c r="A5" s="4"/>
    </row>
    <row r="6" spans="1:17" s="7" customFormat="1" ht="10.5" customHeight="1" x14ac:dyDescent="0.3">
      <c r="A6" s="4"/>
    </row>
    <row r="7" spans="1:17" s="7" customFormat="1" ht="9.75" customHeight="1" x14ac:dyDescent="0.3">
      <c r="A7" s="4"/>
    </row>
    <row r="8" spans="1:17" s="7" customFormat="1" ht="33" customHeight="1" x14ac:dyDescent="0.3">
      <c r="A8" s="4"/>
    </row>
    <row r="9" spans="1:17" s="7" customFormat="1" x14ac:dyDescent="0.3">
      <c r="A9" s="4"/>
    </row>
    <row r="10" spans="1:17" s="7" customFormat="1" x14ac:dyDescent="0.3">
      <c r="A10" s="4"/>
    </row>
    <row r="11" spans="1:17" s="7" customFormat="1" x14ac:dyDescent="0.3">
      <c r="A11" s="4"/>
    </row>
    <row r="12" spans="1:17" s="7" customFormat="1" x14ac:dyDescent="0.3">
      <c r="A12" s="4"/>
    </row>
    <row r="13" spans="1:17" s="7" customFormat="1" x14ac:dyDescent="0.3">
      <c r="A13" s="4"/>
    </row>
    <row r="14" spans="1:17" s="7" customFormat="1" x14ac:dyDescent="0.3">
      <c r="A14" s="4"/>
    </row>
    <row r="15" spans="1:17" s="7" customFormat="1" x14ac:dyDescent="0.3">
      <c r="A15" s="4"/>
    </row>
    <row r="16" spans="1:17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95bb9c5-71eb-466a-916d-a4e6d74e1d47}" enabled="1" method="Privileged" siteId="{5d0227ad-3bcc-4106-8cf3-16e735f3b4c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B̳ases</vt:lpstr>
      <vt:lpstr>Detalhes1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Laranja, Dayenne</cp:lastModifiedBy>
  <dcterms:created xsi:type="dcterms:W3CDTF">2024-12-19T13:13:10Z</dcterms:created>
  <dcterms:modified xsi:type="dcterms:W3CDTF">2026-10-16T02:26:58Z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